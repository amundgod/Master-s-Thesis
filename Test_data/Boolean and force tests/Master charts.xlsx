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kumenter\Skole\Master\Master-s-Thesis\Test_data\Boolean and force tests\"/>
    </mc:Choice>
  </mc:AlternateContent>
  <xr:revisionPtr revIDLastSave="0" documentId="13_ncr:1_{BF9594BC-FAE4-4C95-BE36-C5E14FECA0BD}" xr6:coauthVersionLast="47" xr6:coauthVersionMax="47" xr10:uidLastSave="{00000000-0000-0000-0000-000000000000}"/>
  <bookViews>
    <workbookView xWindow="-96" yWindow="-96" windowWidth="23232" windowHeight="12552" firstSheet="1" activeTab="1" xr2:uid="{183E3E47-5F56-400D-983A-CDA78A52BF4C}"/>
  </bookViews>
  <sheets>
    <sheet name="Ark1" sheetId="1" state="hidden" r:id="rId1"/>
    <sheet name="Integrated Test" sheetId="5" r:id="rId2"/>
    <sheet name="SeedTest" sheetId="2" r:id="rId3"/>
    <sheet name="Root Cutter Test" sheetId="7" r:id="rId4"/>
    <sheet name="Dry Substrate Test" sheetId="3" r:id="rId5"/>
    <sheet name="Used Substrate Test" sheetId="10" r:id="rId6"/>
    <sheet name="PlugDim" sheetId="4" r:id="rId7"/>
    <sheet name="Substrate Depth Test" sheetId="9" r:id="rId8"/>
    <sheet name="Plug Cup Gripper Test" sheetId="6" r:id="rId9"/>
    <sheet name="Component Costs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F15" i="4"/>
  <c r="F14" i="4"/>
  <c r="F13" i="4"/>
  <c r="F12" i="4"/>
  <c r="F11" i="4"/>
  <c r="F10" i="4"/>
  <c r="F9" i="4"/>
  <c r="F8" i="4"/>
  <c r="F7" i="4"/>
  <c r="F6" i="4"/>
  <c r="F5" i="4"/>
  <c r="F17" i="4" s="1"/>
  <c r="F4" i="4"/>
  <c r="F3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2" i="7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E20" i="8"/>
  <c r="E34" i="8"/>
  <c r="E33" i="8"/>
  <c r="E32" i="8"/>
  <c r="E31" i="8"/>
  <c r="E30" i="8"/>
  <c r="E29" i="8"/>
  <c r="E28" i="8"/>
  <c r="E27" i="8"/>
  <c r="E26" i="8"/>
  <c r="E36" i="8" s="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G49" i="2"/>
  <c r="E49" i="2"/>
  <c r="C49" i="2"/>
  <c r="G48" i="2"/>
  <c r="E48" i="2"/>
  <c r="C48" i="2"/>
  <c r="H13" i="5"/>
  <c r="G13" i="5"/>
  <c r="F13" i="5"/>
  <c r="E13" i="5"/>
  <c r="B13" i="5"/>
  <c r="E5" i="6"/>
  <c r="D4" i="6"/>
  <c r="E4" i="6" s="1"/>
  <c r="D5" i="6"/>
  <c r="D6" i="6"/>
  <c r="E6" i="6" s="1"/>
  <c r="D7" i="6"/>
  <c r="E7" i="6" s="1"/>
  <c r="D3" i="6"/>
  <c r="E3" i="6" s="1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25" i="2"/>
  <c r="E25" i="2"/>
  <c r="F25" i="2"/>
  <c r="G25" i="2"/>
  <c r="C25" i="2"/>
  <c r="B25" i="2"/>
  <c r="C24" i="2"/>
  <c r="D24" i="2"/>
  <c r="E24" i="2"/>
  <c r="F24" i="2"/>
  <c r="G24" i="2"/>
  <c r="B24" i="2"/>
  <c r="I13" i="5" l="1"/>
  <c r="B17" i="5" s="1"/>
  <c r="B18" i="5" s="1"/>
  <c r="D18" i="5" s="1"/>
  <c r="C17" i="4"/>
</calcChain>
</file>

<file path=xl/sharedStrings.xml><?xml version="1.0" encoding="utf-8"?>
<sst xmlns="http://schemas.openxmlformats.org/spreadsheetml/2006/main" count="259" uniqueCount="128">
  <si>
    <t>Time</t>
  </si>
  <si>
    <t>Pressure (bar)</t>
  </si>
  <si>
    <t>Seed Pickups</t>
  </si>
  <si>
    <t>Seed type</t>
  </si>
  <si>
    <t>Ordinary basil</t>
  </si>
  <si>
    <t>Fail = 0</t>
  </si>
  <si>
    <t>Success = 1</t>
  </si>
  <si>
    <t>Test #</t>
  </si>
  <si>
    <t>n Seeds</t>
  </si>
  <si>
    <t xml:space="preserve">Average: </t>
  </si>
  <si>
    <t>Std. dev</t>
  </si>
  <si>
    <t>Depth [cm]</t>
  </si>
  <si>
    <t>Success (0/1)</t>
  </si>
  <si>
    <t>Force Max [g]</t>
  </si>
  <si>
    <t>Force Max [N]</t>
  </si>
  <si>
    <t>Damage (0-3)</t>
  </si>
  <si>
    <t>Unused Moist  Substrate</t>
  </si>
  <si>
    <t>Plug Size and Deviations</t>
  </si>
  <si>
    <t xml:space="preserve">Plug # </t>
  </si>
  <si>
    <t xml:space="preserve">Middle hole </t>
  </si>
  <si>
    <t>Outer inscribed</t>
  </si>
  <si>
    <t>Center Distance</t>
  </si>
  <si>
    <t>Mean</t>
  </si>
  <si>
    <t>Std.dev</t>
  </si>
  <si>
    <t xml:space="preserve">Mean Deviation </t>
  </si>
  <si>
    <t>Deviation</t>
  </si>
  <si>
    <t>Plugstate</t>
  </si>
  <si>
    <t>Success</t>
  </si>
  <si>
    <t>Seed Type</t>
  </si>
  <si>
    <t>B</t>
  </si>
  <si>
    <t>G</t>
  </si>
  <si>
    <t>M</t>
  </si>
  <si>
    <t>OG</t>
  </si>
  <si>
    <t>UG</t>
  </si>
  <si>
    <t>Fail</t>
  </si>
  <si>
    <t xml:space="preserve">Split </t>
  </si>
  <si>
    <t>Dig Length [cm]</t>
  </si>
  <si>
    <t>M = moist</t>
  </si>
  <si>
    <t>G = Grown</t>
  </si>
  <si>
    <t>Pickup</t>
  </si>
  <si>
    <t>Unused Dry  Substrate 3 mm steel needle</t>
  </si>
  <si>
    <t>Cup Load Test</t>
  </si>
  <si>
    <t xml:space="preserve">Small Weights </t>
  </si>
  <si>
    <t>Large Weights</t>
  </si>
  <si>
    <t>Large</t>
  </si>
  <si>
    <t xml:space="preserve">Small </t>
  </si>
  <si>
    <t>Total Load[kg]</t>
  </si>
  <si>
    <t>Total Load [N]</t>
  </si>
  <si>
    <t>Deflection[mm]</t>
  </si>
  <si>
    <t>Weights [kg]</t>
  </si>
  <si>
    <t>%</t>
  </si>
  <si>
    <t>New Plug</t>
  </si>
  <si>
    <t>Used Plug</t>
  </si>
  <si>
    <t>Placement</t>
  </si>
  <si>
    <t xml:space="preserve">Seed Pickup  </t>
  </si>
  <si>
    <t>n. Seed</t>
  </si>
  <si>
    <t xml:space="preserve">Aerated </t>
  </si>
  <si>
    <t>Runs</t>
  </si>
  <si>
    <t>Fail Node</t>
  </si>
  <si>
    <t>Deflection</t>
  </si>
  <si>
    <t>Sucess avg.</t>
  </si>
  <si>
    <t>kr</t>
  </si>
  <si>
    <t>https://no.rs-online.com/web/p/micro-switches/2496861</t>
  </si>
  <si>
    <t xml:space="preserve">Differential Pressure </t>
  </si>
  <si>
    <t>Micro Switch</t>
  </si>
  <si>
    <t>https://no.rs-online.com/web/p/pressure-sensor-ics/7191103</t>
  </si>
  <si>
    <t>Part</t>
  </si>
  <si>
    <t>Cost</t>
  </si>
  <si>
    <t>Link</t>
  </si>
  <si>
    <t>https://no.rs-online.com/web/p/tubing-and-profile-struts/7866006</t>
  </si>
  <si>
    <t>Stainless Steel Rod</t>
  </si>
  <si>
    <t>Amount</t>
  </si>
  <si>
    <t>Cost/unit</t>
  </si>
  <si>
    <t>Stepper motor w/lead screw</t>
  </si>
  <si>
    <t xml:space="preserve">Total: </t>
  </si>
  <si>
    <t>https://www.sparkfun.com/vacuum-pump-12v.html</t>
  </si>
  <si>
    <t>https://www.prusa3d.com/product/stepper-motor-z-axis-left-2/</t>
  </si>
  <si>
    <t>Sparkfun Vacuum Pump</t>
  </si>
  <si>
    <t>https://no.rs-online.com/web/p/air-hoses/0225892</t>
  </si>
  <si>
    <t>Comressed air pipe</t>
  </si>
  <si>
    <t>Lead Screw nut</t>
  </si>
  <si>
    <t>https://www.prusa3d.com/product/trapezoid-nut-i3-mk4-mmu2-2s-3/</t>
  </si>
  <si>
    <t>https://www.apotek1.no/produkter/sterican-kanyle-g19x1-1-2-1.10x40mm-100stk-920975p</t>
  </si>
  <si>
    <t>kanyle G19X1 1/2</t>
  </si>
  <si>
    <t>NPN Transistor</t>
  </si>
  <si>
    <t>https://no.rs-online.com/web/p/darlington-pairs/4369779</t>
  </si>
  <si>
    <t>https://no.rs-online.com/web/p/servo-motors/7813058</t>
  </si>
  <si>
    <t>Parallax Inc Standard Servo</t>
  </si>
  <si>
    <t>https://mrsmart.no/mg-90s-mikroservo-180-grader-girkasse-i-metall-id81?srsltid=AfmBOooD13OfHHspmwDb_nY02owm3Pnzz_Goa4hMgcJ4nAIrosWN8X812fA</t>
  </si>
  <si>
    <t>MG-90S Micro servo</t>
  </si>
  <si>
    <t>https://www.jula.no/catalog/bygg-og-maling/maling-og-fugemasse/tekstil-og-tapet/tapetseringsverktoy/barberblad-014966/?srsltid=AfmBOorLlHgtq5kSFQZRFqiLNekvDPMOkyd6A1gf-XoDKmOSXl2N98MDU3M</t>
  </si>
  <si>
    <t>Razor blade</t>
  </si>
  <si>
    <t>Linear Ball Bearing</t>
  </si>
  <si>
    <t>https://no.rs-online.com/web/p/linear-bearings/0576637</t>
  </si>
  <si>
    <t>Row Ball Bearing 25 mm ID</t>
  </si>
  <si>
    <t>Row Ball Bearing 8 mm ID</t>
  </si>
  <si>
    <t>https://no.rs-online.com/web/p/ball-bearings/2850611</t>
  </si>
  <si>
    <t>https://no.rs-online.com/web/p/ball-bearings/2346922</t>
  </si>
  <si>
    <t>Test</t>
  </si>
  <si>
    <t>Insertion Depth</t>
  </si>
  <si>
    <t>No Pickup</t>
  </si>
  <si>
    <t>Plug Split</t>
  </si>
  <si>
    <t>Adafriut Metro</t>
  </si>
  <si>
    <t>https://no.rs-online.com/web/p/microcontroller-development-tools/1245519</t>
  </si>
  <si>
    <t xml:space="preserve">Actual Bought </t>
  </si>
  <si>
    <t>Root Cutter Final Test</t>
  </si>
  <si>
    <t>Used Plug Test</t>
  </si>
  <si>
    <t xml:space="preserve">Compound: </t>
  </si>
  <si>
    <t>Root cutting:</t>
  </si>
  <si>
    <t>Current:</t>
  </si>
  <si>
    <t>Integrated test</t>
  </si>
  <si>
    <t>=</t>
  </si>
  <si>
    <t>Compound</t>
  </si>
  <si>
    <t>Max Read [g]</t>
  </si>
  <si>
    <t>UG = Undergrown</t>
  </si>
  <si>
    <t>OG = Overgrown</t>
  </si>
  <si>
    <t>Nominal</t>
  </si>
  <si>
    <t>Substrate insertion depth test</t>
  </si>
  <si>
    <t>Setup Excess</t>
  </si>
  <si>
    <t>Unit costs</t>
  </si>
  <si>
    <t>Success(0/1)</t>
  </si>
  <si>
    <t>Plug Growth[weeks]</t>
  </si>
  <si>
    <t>Kale</t>
  </si>
  <si>
    <t>Success [%]</t>
  </si>
  <si>
    <t>Green lettuce</t>
  </si>
  <si>
    <t>L</t>
  </si>
  <si>
    <t>L= Lettuce</t>
  </si>
  <si>
    <t>B= Basil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</si>
</sst>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1" x14ac:knownFonts="1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3F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0061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3" fillId="0" borderId="0" applyNumberFormat="0" applyFill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</cellStyleXfs>
  <cellXfs count="34">
    <xf numFmtId="0" fontId="0" fillId="0" borderId="0" xfId="0"/>
    <xf numFmtId="0" fontId="2" fillId="0" borderId="0" xfId="0" applyFont="1"/>
    <xf numFmtId="2" fontId="0" fillId="0" borderId="0" xfId="0" applyNumberFormat="1"/>
    <xf numFmtId="2" fontId="2" fillId="0" borderId="0" xfId="0" applyNumberFormat="1" applyFont="1"/>
    <xf numFmtId="164" fontId="0" fillId="0" borderId="0" xfId="0" applyNumberFormat="1"/>
    <xf numFmtId="165" fontId="0" fillId="0" borderId="0" xfId="0" applyNumberFormat="1"/>
    <xf numFmtId="0" fontId="3" fillId="0" borderId="0" xfId="2"/>
    <xf numFmtId="0" fontId="2" fillId="3" borderId="0" xfId="0" applyFont="1" applyFill="1"/>
    <xf numFmtId="0" fontId="0" fillId="3" borderId="0" xfId="0" applyFill="1"/>
    <xf numFmtId="0" fontId="1" fillId="3" borderId="1" xfId="1" applyFill="1"/>
    <xf numFmtId="0" fontId="2" fillId="3" borderId="2" xfId="0" applyFont="1" applyFill="1" applyBorder="1"/>
    <xf numFmtId="0" fontId="1" fillId="3" borderId="2" xfId="1" applyFill="1" applyBorder="1"/>
    <xf numFmtId="0" fontId="0" fillId="0" borderId="0" xfId="0" applyAlignment="1">
      <alignment horizontal="center"/>
    </xf>
    <xf numFmtId="2" fontId="2" fillId="3" borderId="2" xfId="0" applyNumberFormat="1" applyFont="1" applyFill="1" applyBorder="1"/>
    <xf numFmtId="0" fontId="7" fillId="3" borderId="1" xfId="1" applyFont="1" applyFill="1"/>
    <xf numFmtId="0" fontId="7" fillId="3" borderId="3" xfId="1" applyFont="1" applyFill="1" applyBorder="1"/>
    <xf numFmtId="0" fontId="7" fillId="3" borderId="2" xfId="1" applyFont="1" applyFill="1" applyBorder="1"/>
    <xf numFmtId="0" fontId="0" fillId="3" borderId="2" xfId="0" applyFont="1" applyFill="1" applyBorder="1"/>
    <xf numFmtId="0" fontId="2" fillId="0" borderId="2" xfId="0" applyFont="1" applyBorder="1"/>
    <xf numFmtId="0" fontId="0" fillId="0" borderId="2" xfId="0" applyBorder="1"/>
    <xf numFmtId="2" fontId="0" fillId="0" borderId="2" xfId="0" applyNumberForma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2" fontId="2" fillId="0" borderId="2" xfId="0" applyNumberFormat="1" applyFont="1" applyBorder="1"/>
    <xf numFmtId="2" fontId="2" fillId="0" borderId="0" xfId="0" applyNumberFormat="1" applyFont="1" applyBorder="1"/>
    <xf numFmtId="1" fontId="0" fillId="0" borderId="0" xfId="0" applyNumberFormat="1" applyBorder="1"/>
    <xf numFmtId="2" fontId="0" fillId="0" borderId="0" xfId="0" applyNumberFormat="1" applyBorder="1"/>
    <xf numFmtId="0" fontId="2" fillId="0" borderId="0" xfId="0" applyFont="1" applyBorder="1"/>
    <xf numFmtId="164" fontId="0" fillId="0" borderId="2" xfId="0" applyNumberFormat="1" applyBorder="1"/>
    <xf numFmtId="2" fontId="8" fillId="5" borderId="2" xfId="4" applyNumberFormat="1" applyFont="1" applyBorder="1"/>
    <xf numFmtId="0" fontId="9" fillId="6" borderId="2" xfId="5" applyFont="1" applyBorder="1"/>
    <xf numFmtId="1" fontId="8" fillId="5" borderId="2" xfId="4" applyNumberFormat="1" applyFont="1" applyBorder="1"/>
    <xf numFmtId="0" fontId="10" fillId="4" borderId="2" xfId="3" applyFont="1" applyBorder="1"/>
    <xf numFmtId="0" fontId="2" fillId="0" borderId="0" xfId="0" applyFont="1" applyFill="1" applyBorder="1"/>
  </cellXfs>
  <cellStyles count="6">
    <cellStyle name="Dårlig" xfId="4" builtinId="27"/>
    <cellStyle name="God" xfId="3" builtinId="26"/>
    <cellStyle name="Hyperkobling" xfId="2" builtinId="8"/>
    <cellStyle name="Normal" xfId="0" builtinId="0"/>
    <cellStyle name="Nøytral" xfId="5" builtinId="28"/>
    <cellStyle name="Utdata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</a:t>
            </a:r>
            <a:r>
              <a:rPr lang="en-US" baseline="0"/>
              <a:t> over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'Ark1'!$B$1</c:f>
              <c:strCache>
                <c:ptCount val="1"/>
                <c:pt idx="0">
                  <c:v>Pressure (bar)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'Ark1'!$A$2:$A$42</c:f>
              <c:numCache>
                <c:formatCode>General</c:formatCode>
                <c:ptCount val="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</c:numCache>
            </c:numRef>
          </c:cat>
          <c:val>
            <c:numRef>
              <c:f>'Ark1'!$B$2:$B$42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-0.4</c:v>
                </c:pt>
                <c:pt idx="7">
                  <c:v>-0.8</c:v>
                </c:pt>
                <c:pt idx="8">
                  <c:v>-1.1000000000000001</c:v>
                </c:pt>
                <c:pt idx="9">
                  <c:v>-1.3</c:v>
                </c:pt>
                <c:pt idx="10">
                  <c:v>-1.4</c:v>
                </c:pt>
                <c:pt idx="11">
                  <c:v>-1.45</c:v>
                </c:pt>
                <c:pt idx="12">
                  <c:v>-1.5</c:v>
                </c:pt>
                <c:pt idx="13">
                  <c:v>-1.5</c:v>
                </c:pt>
                <c:pt idx="14">
                  <c:v>-1.5</c:v>
                </c:pt>
                <c:pt idx="15">
                  <c:v>-1.5</c:v>
                </c:pt>
                <c:pt idx="16">
                  <c:v>-1.5</c:v>
                </c:pt>
                <c:pt idx="17">
                  <c:v>-1.5</c:v>
                </c:pt>
                <c:pt idx="18">
                  <c:v>-1.5</c:v>
                </c:pt>
                <c:pt idx="19">
                  <c:v>-1.5</c:v>
                </c:pt>
                <c:pt idx="20">
                  <c:v>-1.5</c:v>
                </c:pt>
                <c:pt idx="21">
                  <c:v>-1.5</c:v>
                </c:pt>
                <c:pt idx="22">
                  <c:v>-1.5</c:v>
                </c:pt>
                <c:pt idx="23">
                  <c:v>-1.5</c:v>
                </c:pt>
                <c:pt idx="24">
                  <c:v>-1.5</c:v>
                </c:pt>
                <c:pt idx="25">
                  <c:v>-1.5</c:v>
                </c:pt>
                <c:pt idx="26">
                  <c:v>-1.5</c:v>
                </c:pt>
                <c:pt idx="27">
                  <c:v>-0.7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11-43A6-92EB-DA8F9B899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0767"/>
        <c:axId val="1737426447"/>
      </c:lineChart>
      <c:catAx>
        <c:axId val="1737430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426447"/>
        <c:crosses val="autoZero"/>
        <c:auto val="1"/>
        <c:lblAlgn val="ctr"/>
        <c:lblOffset val="100"/>
        <c:noMultiLvlLbl val="0"/>
      </c:catAx>
      <c:valAx>
        <c:axId val="173742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430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111449</xdr:colOff>
      <xdr:row>1</xdr:row>
      <xdr:rowOff>152400</xdr:rowOff>
    </xdr:from>
    <xdr:to>
      <xdr:col>8</xdr:col>
      <xdr:colOff>717939</xdr:colOff>
      <xdr:row>16</xdr:row>
      <xdr:rowOff>174172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DBF95E74-CD53-3921-D4AA-33BF7B337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potek1.no/produkter/sterican-kanyle-g19x1-1-2-1.10x40mm-100stk-920975p" TargetMode="External"/><Relationship Id="rId13" Type="http://schemas.openxmlformats.org/officeDocument/2006/relationships/hyperlink" Target="https://no.rs-online.com/web/p/micro-switches/2496861" TargetMode="External"/><Relationship Id="rId18" Type="http://schemas.openxmlformats.org/officeDocument/2006/relationships/hyperlink" Target="https://www.jula.no/catalog/bygg-og-maling/maling-og-fugemasse/tekstil-og-tapet/tapetseringsverktoy/barberblad-014966/?srsltid=AfmBOorLlHgtq5kSFQZRFqiLNekvDPMOkyd6A1gf-XoDKmOSXl2N98MDU3M" TargetMode="External"/><Relationship Id="rId26" Type="http://schemas.openxmlformats.org/officeDocument/2006/relationships/printerSettings" Target="../printerSettings/printerSettings6.bin"/><Relationship Id="rId3" Type="http://schemas.openxmlformats.org/officeDocument/2006/relationships/hyperlink" Target="https://no.rs-online.com/web/p/linear-bearings/0576637" TargetMode="External"/><Relationship Id="rId21" Type="http://schemas.openxmlformats.org/officeDocument/2006/relationships/hyperlink" Target="https://www.sparkfun.com/vacuum-pump-12v.html" TargetMode="External"/><Relationship Id="rId7" Type="http://schemas.openxmlformats.org/officeDocument/2006/relationships/hyperlink" Target="https://no.rs-online.com/web/p/darlington-pairs/4369779" TargetMode="External"/><Relationship Id="rId12" Type="http://schemas.openxmlformats.org/officeDocument/2006/relationships/hyperlink" Target="https://www.prusa3d.com/product/stepper-motor-z-axis-left-2/" TargetMode="External"/><Relationship Id="rId17" Type="http://schemas.openxmlformats.org/officeDocument/2006/relationships/hyperlink" Target="https://no.rs-online.com/web/p/linear-bearings/0576637" TargetMode="External"/><Relationship Id="rId25" Type="http://schemas.openxmlformats.org/officeDocument/2006/relationships/hyperlink" Target="https://no.rs-online.com/web/p/microcontroller-development-tools/1245519" TargetMode="External"/><Relationship Id="rId2" Type="http://schemas.openxmlformats.org/officeDocument/2006/relationships/hyperlink" Target="https://no.rs-online.com/web/p/ball-bearings/2346922" TargetMode="External"/><Relationship Id="rId16" Type="http://schemas.openxmlformats.org/officeDocument/2006/relationships/hyperlink" Target="https://no.rs-online.com/web/p/ball-bearings/2850611" TargetMode="External"/><Relationship Id="rId20" Type="http://schemas.openxmlformats.org/officeDocument/2006/relationships/hyperlink" Target="https://www.apotek1.no/produkter/sterican-kanyle-g19x1-1-2-1.10x40mm-100stk-920975p" TargetMode="External"/><Relationship Id="rId1" Type="http://schemas.openxmlformats.org/officeDocument/2006/relationships/hyperlink" Target="https://no.rs-online.com/web/p/ball-bearings/2850611" TargetMode="External"/><Relationship Id="rId6" Type="http://schemas.openxmlformats.org/officeDocument/2006/relationships/hyperlink" Target="https://no.rs-online.com/web/p/servo-motors/7813058" TargetMode="External"/><Relationship Id="rId11" Type="http://schemas.openxmlformats.org/officeDocument/2006/relationships/hyperlink" Target="https://no.rs-online.com/web/p/air-hoses/0225892" TargetMode="External"/><Relationship Id="rId24" Type="http://schemas.openxmlformats.org/officeDocument/2006/relationships/hyperlink" Target="https://no.rs-online.com/web/p/pressure-sensor-ics/7191103" TargetMode="External"/><Relationship Id="rId5" Type="http://schemas.openxmlformats.org/officeDocument/2006/relationships/hyperlink" Target="https://mrsmart.no/mg-90s-mikroservo-180-grader-girkasse-i-metall-id81?srsltid=AfmBOooD13OfHHspmwDb_nY02owm3Pnzz_Goa4hMgcJ4nAIrosWN8X812fA" TargetMode="External"/><Relationship Id="rId15" Type="http://schemas.openxmlformats.org/officeDocument/2006/relationships/hyperlink" Target="https://no.rs-online.com/web/p/tubing-and-profile-struts/7866006" TargetMode="External"/><Relationship Id="rId23" Type="http://schemas.openxmlformats.org/officeDocument/2006/relationships/hyperlink" Target="https://no.rs-online.com/web/p/micro-switches/2496861" TargetMode="External"/><Relationship Id="rId10" Type="http://schemas.openxmlformats.org/officeDocument/2006/relationships/hyperlink" Target="https://www.sparkfun.com/vacuum-pump-12v.html" TargetMode="External"/><Relationship Id="rId19" Type="http://schemas.openxmlformats.org/officeDocument/2006/relationships/hyperlink" Target="https://no.rs-online.com/web/p/servo-motors/7813058" TargetMode="External"/><Relationship Id="rId4" Type="http://schemas.openxmlformats.org/officeDocument/2006/relationships/hyperlink" Target="https://www.jula.no/catalog/bygg-og-maling/maling-og-fugemasse/tekstil-og-tapet/tapetseringsverktoy/barberblad-014966/?srsltid=AfmBOorLlHgtq5kSFQZRFqiLNekvDPMOkyd6A1gf-XoDKmOSXl2N98MDU3M" TargetMode="External"/><Relationship Id="rId9" Type="http://schemas.openxmlformats.org/officeDocument/2006/relationships/hyperlink" Target="https://www.prusa3d.com/product/trapezoid-nut-i3-mk4-mmu2-2s-3/" TargetMode="External"/><Relationship Id="rId14" Type="http://schemas.openxmlformats.org/officeDocument/2006/relationships/hyperlink" Target="https://no.rs-online.com/web/p/pressure-sensor-ics/7191103" TargetMode="External"/><Relationship Id="rId22" Type="http://schemas.openxmlformats.org/officeDocument/2006/relationships/hyperlink" Target="https://no.rs-online.com/web/p/air-hoses/02258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74F9B-BEC4-4025-950D-5FD6FD7C7899}">
  <dimension ref="A1:B42"/>
  <sheetViews>
    <sheetView zoomScale="90" zoomScaleNormal="100" workbookViewId="0">
      <selection activeCell="C30" sqref="C30"/>
    </sheetView>
  </sheetViews>
  <sheetFormatPr baseColWidth="10"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>
        <v>0</v>
      </c>
      <c r="B2">
        <v>0</v>
      </c>
    </row>
    <row r="3" spans="1:2" x14ac:dyDescent="0.3">
      <c r="A3">
        <v>0.1</v>
      </c>
      <c r="B3">
        <v>0</v>
      </c>
    </row>
    <row r="4" spans="1:2" x14ac:dyDescent="0.3">
      <c r="A4">
        <v>0.2</v>
      </c>
      <c r="B4">
        <v>0</v>
      </c>
    </row>
    <row r="5" spans="1:2" x14ac:dyDescent="0.3">
      <c r="A5">
        <v>0.3</v>
      </c>
      <c r="B5">
        <v>0</v>
      </c>
    </row>
    <row r="6" spans="1:2" x14ac:dyDescent="0.3">
      <c r="A6">
        <v>0.4</v>
      </c>
      <c r="B6">
        <v>0</v>
      </c>
    </row>
    <row r="7" spans="1:2" x14ac:dyDescent="0.3">
      <c r="A7">
        <v>0.5</v>
      </c>
      <c r="B7">
        <v>0</v>
      </c>
    </row>
    <row r="8" spans="1:2" x14ac:dyDescent="0.3">
      <c r="A8">
        <v>0.6</v>
      </c>
      <c r="B8">
        <v>-0.4</v>
      </c>
    </row>
    <row r="9" spans="1:2" x14ac:dyDescent="0.3">
      <c r="A9">
        <v>0.7</v>
      </c>
      <c r="B9">
        <v>-0.8</v>
      </c>
    </row>
    <row r="10" spans="1:2" x14ac:dyDescent="0.3">
      <c r="A10">
        <v>0.8</v>
      </c>
      <c r="B10">
        <v>-1.1000000000000001</v>
      </c>
    </row>
    <row r="11" spans="1:2" x14ac:dyDescent="0.3">
      <c r="A11">
        <v>0.9</v>
      </c>
      <c r="B11">
        <v>-1.3</v>
      </c>
    </row>
    <row r="12" spans="1:2" x14ac:dyDescent="0.3">
      <c r="A12">
        <v>1</v>
      </c>
      <c r="B12">
        <v>-1.4</v>
      </c>
    </row>
    <row r="13" spans="1:2" x14ac:dyDescent="0.3">
      <c r="A13">
        <v>1.1000000000000001</v>
      </c>
      <c r="B13">
        <v>-1.45</v>
      </c>
    </row>
    <row r="14" spans="1:2" x14ac:dyDescent="0.3">
      <c r="A14">
        <v>1.2</v>
      </c>
      <c r="B14">
        <v>-1.5</v>
      </c>
    </row>
    <row r="15" spans="1:2" x14ac:dyDescent="0.3">
      <c r="A15">
        <v>1.3</v>
      </c>
      <c r="B15">
        <v>-1.5</v>
      </c>
    </row>
    <row r="16" spans="1:2" x14ac:dyDescent="0.3">
      <c r="A16">
        <v>1.4</v>
      </c>
      <c r="B16">
        <v>-1.5</v>
      </c>
    </row>
    <row r="17" spans="1:2" x14ac:dyDescent="0.3">
      <c r="A17">
        <v>1.5</v>
      </c>
      <c r="B17">
        <v>-1.5</v>
      </c>
    </row>
    <row r="18" spans="1:2" x14ac:dyDescent="0.3">
      <c r="A18">
        <v>1.6</v>
      </c>
      <c r="B18">
        <v>-1.5</v>
      </c>
    </row>
    <row r="19" spans="1:2" x14ac:dyDescent="0.3">
      <c r="A19">
        <v>1.7</v>
      </c>
      <c r="B19">
        <v>-1.5</v>
      </c>
    </row>
    <row r="20" spans="1:2" x14ac:dyDescent="0.3">
      <c r="A20">
        <v>1.8</v>
      </c>
      <c r="B20">
        <v>-1.5</v>
      </c>
    </row>
    <row r="21" spans="1:2" x14ac:dyDescent="0.3">
      <c r="A21">
        <v>1.9</v>
      </c>
      <c r="B21">
        <v>-1.5</v>
      </c>
    </row>
    <row r="22" spans="1:2" x14ac:dyDescent="0.3">
      <c r="A22">
        <v>2</v>
      </c>
      <c r="B22">
        <v>-1.5</v>
      </c>
    </row>
    <row r="23" spans="1:2" x14ac:dyDescent="0.3">
      <c r="A23">
        <v>2.1</v>
      </c>
      <c r="B23">
        <v>-1.5</v>
      </c>
    </row>
    <row r="24" spans="1:2" x14ac:dyDescent="0.3">
      <c r="A24">
        <v>2.2000000000000002</v>
      </c>
      <c r="B24">
        <v>-1.5</v>
      </c>
    </row>
    <row r="25" spans="1:2" x14ac:dyDescent="0.3">
      <c r="A25">
        <v>2.2999999999999998</v>
      </c>
      <c r="B25">
        <v>-1.5</v>
      </c>
    </row>
    <row r="26" spans="1:2" x14ac:dyDescent="0.3">
      <c r="A26">
        <v>2.4</v>
      </c>
      <c r="B26">
        <v>-1.5</v>
      </c>
    </row>
    <row r="27" spans="1:2" x14ac:dyDescent="0.3">
      <c r="A27">
        <v>2.5</v>
      </c>
      <c r="B27">
        <v>-1.5</v>
      </c>
    </row>
    <row r="28" spans="1:2" x14ac:dyDescent="0.3">
      <c r="A28">
        <v>2.6</v>
      </c>
      <c r="B28">
        <v>-1.5</v>
      </c>
    </row>
    <row r="29" spans="1:2" x14ac:dyDescent="0.3">
      <c r="A29">
        <v>2.7</v>
      </c>
      <c r="B29">
        <v>-0.7</v>
      </c>
    </row>
    <row r="30" spans="1:2" x14ac:dyDescent="0.3">
      <c r="A30">
        <v>2.8</v>
      </c>
      <c r="B30">
        <v>0</v>
      </c>
    </row>
    <row r="31" spans="1:2" x14ac:dyDescent="0.3">
      <c r="A31">
        <v>2.9</v>
      </c>
      <c r="B31">
        <v>0</v>
      </c>
    </row>
    <row r="32" spans="1:2" x14ac:dyDescent="0.3">
      <c r="A32">
        <v>3</v>
      </c>
      <c r="B32">
        <v>0</v>
      </c>
    </row>
    <row r="33" spans="1:2" x14ac:dyDescent="0.3">
      <c r="A33">
        <v>3.1</v>
      </c>
      <c r="B33">
        <v>0</v>
      </c>
    </row>
    <row r="34" spans="1:2" x14ac:dyDescent="0.3">
      <c r="A34">
        <v>3.2</v>
      </c>
      <c r="B34">
        <v>0</v>
      </c>
    </row>
    <row r="35" spans="1:2" x14ac:dyDescent="0.3">
      <c r="A35">
        <v>3.3</v>
      </c>
      <c r="B35">
        <v>0</v>
      </c>
    </row>
    <row r="36" spans="1:2" x14ac:dyDescent="0.3">
      <c r="A36">
        <v>3.4</v>
      </c>
      <c r="B36">
        <v>0</v>
      </c>
    </row>
    <row r="37" spans="1:2" x14ac:dyDescent="0.3">
      <c r="A37">
        <v>3.5</v>
      </c>
      <c r="B37">
        <v>0</v>
      </c>
    </row>
    <row r="38" spans="1:2" x14ac:dyDescent="0.3">
      <c r="A38">
        <v>3.6</v>
      </c>
      <c r="B38">
        <v>0</v>
      </c>
    </row>
    <row r="39" spans="1:2" x14ac:dyDescent="0.3">
      <c r="A39">
        <v>3.7</v>
      </c>
      <c r="B39">
        <v>0</v>
      </c>
    </row>
    <row r="40" spans="1:2" x14ac:dyDescent="0.3">
      <c r="A40">
        <v>3.8</v>
      </c>
      <c r="B40">
        <v>0</v>
      </c>
    </row>
    <row r="41" spans="1:2" x14ac:dyDescent="0.3">
      <c r="A41">
        <v>3.9</v>
      </c>
      <c r="B41">
        <v>0</v>
      </c>
    </row>
    <row r="42" spans="1:2" x14ac:dyDescent="0.3">
      <c r="A42">
        <v>4</v>
      </c>
      <c r="B42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A6439-95BC-4C9C-9BCA-76C12624FA01}">
  <dimension ref="A1:I51"/>
  <sheetViews>
    <sheetView tabSelected="1" workbookViewId="0">
      <selection activeCell="M3" sqref="M3"/>
    </sheetView>
  </sheetViews>
  <sheetFormatPr baseColWidth="10" defaultRowHeight="14.4" x14ac:dyDescent="0.3"/>
  <cols>
    <col min="1" max="1" width="13.88671875" bestFit="1" customWidth="1"/>
    <col min="9" max="9" width="12.6640625" bestFit="1" customWidth="1"/>
    <col min="12" max="12" width="13.21875" bestFit="1" customWidth="1"/>
  </cols>
  <sheetData>
    <row r="1" spans="1:9" s="1" customFormat="1" x14ac:dyDescent="0.3">
      <c r="A1" s="1" t="s">
        <v>110</v>
      </c>
    </row>
    <row r="2" spans="1:9" x14ac:dyDescent="0.3">
      <c r="A2" s="18" t="s">
        <v>7</v>
      </c>
      <c r="B2" s="18" t="s">
        <v>54</v>
      </c>
      <c r="C2" s="18" t="s">
        <v>55</v>
      </c>
      <c r="D2" s="18" t="s">
        <v>28</v>
      </c>
      <c r="E2" s="18" t="s">
        <v>39</v>
      </c>
      <c r="F2" s="18" t="s">
        <v>53</v>
      </c>
      <c r="G2" s="18" t="s">
        <v>51</v>
      </c>
      <c r="H2" s="18" t="s">
        <v>52</v>
      </c>
      <c r="I2" s="18" t="s">
        <v>112</v>
      </c>
    </row>
    <row r="3" spans="1:9" s="1" customFormat="1" x14ac:dyDescent="0.3">
      <c r="A3" s="19">
        <v>1</v>
      </c>
      <c r="B3" s="19">
        <v>1</v>
      </c>
      <c r="C3" s="19">
        <v>2</v>
      </c>
      <c r="D3" s="19" t="s">
        <v>125</v>
      </c>
      <c r="E3" s="19">
        <v>1</v>
      </c>
      <c r="F3" s="19">
        <v>1</v>
      </c>
      <c r="G3" s="19">
        <v>1</v>
      </c>
      <c r="H3" s="19">
        <v>1</v>
      </c>
      <c r="I3" s="19"/>
    </row>
    <row r="4" spans="1:9" x14ac:dyDescent="0.3">
      <c r="A4" s="19">
        <v>2</v>
      </c>
      <c r="B4" s="19">
        <v>1</v>
      </c>
      <c r="C4" s="19">
        <v>3</v>
      </c>
      <c r="D4" s="19" t="s">
        <v>125</v>
      </c>
      <c r="E4" s="19">
        <v>1</v>
      </c>
      <c r="F4" s="19">
        <v>1</v>
      </c>
      <c r="G4" s="19">
        <v>1</v>
      </c>
      <c r="H4" s="19">
        <v>1</v>
      </c>
      <c r="I4" s="19"/>
    </row>
    <row r="5" spans="1:9" x14ac:dyDescent="0.3">
      <c r="A5" s="19">
        <v>3</v>
      </c>
      <c r="B5" s="19">
        <v>1</v>
      </c>
      <c r="C5" s="19">
        <v>3</v>
      </c>
      <c r="D5" s="19" t="s">
        <v>125</v>
      </c>
      <c r="E5" s="19">
        <v>1</v>
      </c>
      <c r="F5" s="19">
        <v>1</v>
      </c>
      <c r="G5" s="19">
        <v>1</v>
      </c>
      <c r="H5" s="19">
        <v>0</v>
      </c>
      <c r="I5" s="19"/>
    </row>
    <row r="6" spans="1:9" x14ac:dyDescent="0.3">
      <c r="A6" s="19">
        <v>4</v>
      </c>
      <c r="B6" s="19">
        <v>1</v>
      </c>
      <c r="C6" s="19">
        <v>2</v>
      </c>
      <c r="D6" s="19" t="s">
        <v>125</v>
      </c>
      <c r="E6" s="19">
        <v>1</v>
      </c>
      <c r="F6" s="19">
        <v>1</v>
      </c>
      <c r="G6" s="19">
        <v>1</v>
      </c>
      <c r="H6" s="19">
        <v>1</v>
      </c>
      <c r="I6" s="19"/>
    </row>
    <row r="7" spans="1:9" x14ac:dyDescent="0.3">
      <c r="A7" s="19">
        <v>5</v>
      </c>
      <c r="B7" s="19">
        <v>1</v>
      </c>
      <c r="C7" s="19">
        <v>3</v>
      </c>
      <c r="D7" s="19" t="s">
        <v>125</v>
      </c>
      <c r="E7" s="19">
        <v>1</v>
      </c>
      <c r="F7" s="19">
        <v>1</v>
      </c>
      <c r="G7" s="19">
        <v>1</v>
      </c>
      <c r="H7" s="19">
        <v>1</v>
      </c>
      <c r="I7" s="19"/>
    </row>
    <row r="8" spans="1:9" x14ac:dyDescent="0.3">
      <c r="A8" s="19">
        <v>6</v>
      </c>
      <c r="B8" s="19">
        <v>1</v>
      </c>
      <c r="C8" s="19">
        <v>2</v>
      </c>
      <c r="D8" s="19" t="s">
        <v>125</v>
      </c>
      <c r="E8" s="19">
        <v>1</v>
      </c>
      <c r="F8" s="19">
        <v>1</v>
      </c>
      <c r="G8" s="19">
        <v>1</v>
      </c>
      <c r="H8" s="19">
        <v>1</v>
      </c>
      <c r="I8" s="19"/>
    </row>
    <row r="9" spans="1:9" x14ac:dyDescent="0.3">
      <c r="A9" s="19">
        <v>7</v>
      </c>
      <c r="B9" s="19">
        <v>1</v>
      </c>
      <c r="C9" s="19">
        <v>4</v>
      </c>
      <c r="D9" s="19" t="s">
        <v>29</v>
      </c>
      <c r="E9" s="19">
        <v>1</v>
      </c>
      <c r="F9" s="19">
        <v>1</v>
      </c>
      <c r="G9" s="19">
        <v>1</v>
      </c>
      <c r="H9" s="19">
        <v>0</v>
      </c>
      <c r="I9" s="19"/>
    </row>
    <row r="10" spans="1:9" x14ac:dyDescent="0.3">
      <c r="A10" s="19">
        <v>8</v>
      </c>
      <c r="B10" s="19">
        <v>1</v>
      </c>
      <c r="C10" s="19">
        <v>3</v>
      </c>
      <c r="D10" s="19" t="s">
        <v>29</v>
      </c>
      <c r="E10" s="19">
        <v>1</v>
      </c>
      <c r="F10" s="19">
        <v>1</v>
      </c>
      <c r="G10" s="19">
        <v>1</v>
      </c>
      <c r="H10" s="19">
        <v>1</v>
      </c>
      <c r="I10" s="19"/>
    </row>
    <row r="11" spans="1:9" x14ac:dyDescent="0.3">
      <c r="A11" s="19">
        <v>9</v>
      </c>
      <c r="B11" s="19">
        <v>1</v>
      </c>
      <c r="C11" s="19">
        <v>4</v>
      </c>
      <c r="D11" s="19" t="s">
        <v>29</v>
      </c>
      <c r="E11" s="19">
        <v>1</v>
      </c>
      <c r="F11" s="19">
        <v>1</v>
      </c>
      <c r="G11" s="19">
        <v>1</v>
      </c>
      <c r="H11" s="19">
        <v>1</v>
      </c>
      <c r="I11" s="19"/>
    </row>
    <row r="12" spans="1:9" x14ac:dyDescent="0.3">
      <c r="A12" s="19">
        <v>10</v>
      </c>
      <c r="B12" s="19">
        <v>1</v>
      </c>
      <c r="C12" s="19">
        <v>4</v>
      </c>
      <c r="D12" s="19" t="s">
        <v>29</v>
      </c>
      <c r="E12" s="19">
        <v>1</v>
      </c>
      <c r="F12" s="19">
        <v>1</v>
      </c>
      <c r="G12" s="19">
        <v>1</v>
      </c>
      <c r="H12" s="19">
        <v>0</v>
      </c>
      <c r="I12" s="19"/>
    </row>
    <row r="13" spans="1:9" x14ac:dyDescent="0.3">
      <c r="A13" s="18" t="s">
        <v>123</v>
      </c>
      <c r="B13" s="32">
        <f>SUM(B3:B12)/COUNTA(B3:B12)*100</f>
        <v>100</v>
      </c>
      <c r="C13" s="30"/>
      <c r="D13" s="18"/>
      <c r="E13" s="32">
        <f t="shared" ref="E13" si="0">SUM(E3:E12)/COUNTA(E3:E12)*100</f>
        <v>100</v>
      </c>
      <c r="F13" s="32">
        <f t="shared" ref="F13" si="1">SUM(F3:F12)/COUNTA(F3:F12)*100</f>
        <v>100</v>
      </c>
      <c r="G13" s="32">
        <f t="shared" ref="G13" si="2">SUM(G3:G12)/COUNTA(G3:G12)*100</f>
        <v>100</v>
      </c>
      <c r="H13" s="30">
        <f t="shared" ref="H13" si="3">SUM(H3:H12)/COUNTA(H3:H12)*100</f>
        <v>70</v>
      </c>
      <c r="I13" s="30">
        <f>(B13*E13*F13*G13*H13)/100^4</f>
        <v>70</v>
      </c>
    </row>
    <row r="16" spans="1:9" x14ac:dyDescent="0.3">
      <c r="A16" s="18" t="s">
        <v>108</v>
      </c>
      <c r="B16" s="29">
        <v>0.46666666666666667</v>
      </c>
      <c r="C16" s="27"/>
      <c r="D16" s="27"/>
      <c r="E16" s="27"/>
    </row>
    <row r="17" spans="1:5" x14ac:dyDescent="0.3">
      <c r="A17" s="18" t="s">
        <v>109</v>
      </c>
      <c r="B17" s="30">
        <f>I13/100</f>
        <v>0.7</v>
      </c>
      <c r="C17" s="27"/>
      <c r="D17" s="27"/>
      <c r="E17" s="27"/>
    </row>
    <row r="18" spans="1:5" x14ac:dyDescent="0.3">
      <c r="A18" s="18" t="s">
        <v>107</v>
      </c>
      <c r="B18" s="29">
        <f>B16*B17</f>
        <v>0.32666666666666666</v>
      </c>
      <c r="C18" s="21" t="s">
        <v>111</v>
      </c>
      <c r="D18" s="31">
        <f>B18*100</f>
        <v>32.666666666666664</v>
      </c>
      <c r="E18" s="18" t="s">
        <v>50</v>
      </c>
    </row>
    <row r="20" spans="1:5" x14ac:dyDescent="0.3">
      <c r="A20" s="33" t="s">
        <v>126</v>
      </c>
    </row>
    <row r="21" spans="1:5" x14ac:dyDescent="0.3">
      <c r="A21" s="33" t="s">
        <v>127</v>
      </c>
    </row>
    <row r="50" spans="4:4" x14ac:dyDescent="0.3">
      <c r="D50" s="5"/>
    </row>
    <row r="51" spans="4:4" x14ac:dyDescent="0.3">
      <c r="D51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288FA-CE0E-414A-B0A2-7E8AE2BDA4EE}">
  <dimension ref="A1:G49"/>
  <sheetViews>
    <sheetView workbookViewId="0">
      <selection activeCell="F27" sqref="F27"/>
    </sheetView>
  </sheetViews>
  <sheetFormatPr baseColWidth="10" defaultRowHeight="14.4" x14ac:dyDescent="0.3"/>
  <cols>
    <col min="1" max="1" width="13.88671875" style="8" customWidth="1"/>
    <col min="2" max="2" width="13" style="8" bestFit="1" customWidth="1"/>
    <col min="3" max="3" width="12" style="8" bestFit="1" customWidth="1"/>
    <col min="4" max="4" width="13" style="8" bestFit="1" customWidth="1"/>
    <col min="5" max="5" width="11.5546875" style="8"/>
    <col min="6" max="6" width="12.21875" style="8" bestFit="1" customWidth="1"/>
    <col min="7" max="16384" width="11.5546875" style="8"/>
  </cols>
  <sheetData>
    <row r="1" spans="1:7" x14ac:dyDescent="0.3">
      <c r="A1" s="7" t="s">
        <v>2</v>
      </c>
      <c r="B1" s="8" t="s">
        <v>5</v>
      </c>
      <c r="C1" s="8" t="s">
        <v>6</v>
      </c>
    </row>
    <row r="2" spans="1:7" x14ac:dyDescent="0.3">
      <c r="A2" s="9" t="s">
        <v>3</v>
      </c>
      <c r="B2" s="9" t="s">
        <v>4</v>
      </c>
      <c r="C2" s="9" t="s">
        <v>8</v>
      </c>
      <c r="D2" s="9" t="s">
        <v>122</v>
      </c>
      <c r="E2" s="9" t="s">
        <v>8</v>
      </c>
      <c r="F2" s="9" t="s">
        <v>124</v>
      </c>
      <c r="G2" s="9" t="s">
        <v>8</v>
      </c>
    </row>
    <row r="3" spans="1:7" x14ac:dyDescent="0.3">
      <c r="A3" s="14" t="s">
        <v>7</v>
      </c>
      <c r="B3" s="14"/>
      <c r="C3" s="14"/>
      <c r="D3" s="14"/>
      <c r="E3" s="14"/>
      <c r="F3" s="14"/>
      <c r="G3" s="14"/>
    </row>
    <row r="4" spans="1:7" x14ac:dyDescent="0.3">
      <c r="A4" s="14">
        <v>1</v>
      </c>
      <c r="B4" s="14">
        <v>1</v>
      </c>
      <c r="C4" s="14">
        <v>3</v>
      </c>
      <c r="D4" s="14">
        <v>1</v>
      </c>
      <c r="E4" s="14">
        <v>3</v>
      </c>
      <c r="F4" s="14">
        <v>1</v>
      </c>
      <c r="G4" s="14">
        <v>1</v>
      </c>
    </row>
    <row r="5" spans="1:7" x14ac:dyDescent="0.3">
      <c r="A5" s="14">
        <v>2</v>
      </c>
      <c r="B5" s="14">
        <v>1</v>
      </c>
      <c r="C5" s="14">
        <v>3</v>
      </c>
      <c r="D5" s="14">
        <v>1</v>
      </c>
      <c r="E5" s="14">
        <v>1</v>
      </c>
      <c r="F5" s="14">
        <v>1</v>
      </c>
      <c r="G5" s="14">
        <v>1</v>
      </c>
    </row>
    <row r="6" spans="1:7" x14ac:dyDescent="0.3">
      <c r="A6" s="14">
        <v>3</v>
      </c>
      <c r="B6" s="14">
        <v>1</v>
      </c>
      <c r="C6" s="14">
        <v>3</v>
      </c>
      <c r="D6" s="14">
        <v>1</v>
      </c>
      <c r="E6" s="14">
        <v>1</v>
      </c>
      <c r="F6" s="14">
        <v>1</v>
      </c>
      <c r="G6" s="14">
        <v>3</v>
      </c>
    </row>
    <row r="7" spans="1:7" x14ac:dyDescent="0.3">
      <c r="A7" s="14">
        <v>4</v>
      </c>
      <c r="B7" s="14">
        <v>1</v>
      </c>
      <c r="C7" s="14">
        <v>3</v>
      </c>
      <c r="D7" s="14">
        <v>1</v>
      </c>
      <c r="E7" s="14">
        <v>1</v>
      </c>
      <c r="F7" s="14">
        <v>1</v>
      </c>
      <c r="G7" s="14">
        <v>1</v>
      </c>
    </row>
    <row r="8" spans="1:7" x14ac:dyDescent="0.3">
      <c r="A8" s="14">
        <v>5</v>
      </c>
      <c r="B8" s="14">
        <v>1</v>
      </c>
      <c r="C8" s="14">
        <v>3</v>
      </c>
      <c r="D8" s="14">
        <v>1</v>
      </c>
      <c r="E8" s="14">
        <v>1</v>
      </c>
      <c r="F8" s="14">
        <v>1</v>
      </c>
      <c r="G8" s="14">
        <v>2</v>
      </c>
    </row>
    <row r="9" spans="1:7" x14ac:dyDescent="0.3">
      <c r="A9" s="14">
        <v>6</v>
      </c>
      <c r="B9" s="14">
        <v>1</v>
      </c>
      <c r="C9" s="14">
        <v>3</v>
      </c>
      <c r="D9" s="14">
        <v>1</v>
      </c>
      <c r="E9" s="14">
        <v>1</v>
      </c>
      <c r="F9" s="14">
        <v>1</v>
      </c>
      <c r="G9" s="14">
        <v>1</v>
      </c>
    </row>
    <row r="10" spans="1:7" x14ac:dyDescent="0.3">
      <c r="A10" s="14">
        <v>7</v>
      </c>
      <c r="B10" s="14">
        <v>1</v>
      </c>
      <c r="C10" s="14">
        <v>4</v>
      </c>
      <c r="D10" s="14">
        <v>1</v>
      </c>
      <c r="E10" s="14">
        <v>1</v>
      </c>
      <c r="F10" s="14">
        <v>1</v>
      </c>
      <c r="G10" s="14">
        <v>2</v>
      </c>
    </row>
    <row r="11" spans="1:7" x14ac:dyDescent="0.3">
      <c r="A11" s="14">
        <v>8</v>
      </c>
      <c r="B11" s="14">
        <v>1</v>
      </c>
      <c r="C11" s="14">
        <v>2</v>
      </c>
      <c r="D11" s="14">
        <v>1</v>
      </c>
      <c r="E11" s="14">
        <v>1</v>
      </c>
      <c r="F11" s="14">
        <v>1</v>
      </c>
      <c r="G11" s="14">
        <v>3</v>
      </c>
    </row>
    <row r="12" spans="1:7" x14ac:dyDescent="0.3">
      <c r="A12" s="14">
        <v>9</v>
      </c>
      <c r="B12" s="14">
        <v>1</v>
      </c>
      <c r="C12" s="14">
        <v>2</v>
      </c>
      <c r="D12" s="14">
        <v>1</v>
      </c>
      <c r="E12" s="14">
        <v>1</v>
      </c>
      <c r="F12" s="14">
        <v>1</v>
      </c>
      <c r="G12" s="14">
        <v>2</v>
      </c>
    </row>
    <row r="13" spans="1:7" x14ac:dyDescent="0.3">
      <c r="A13" s="14">
        <v>10</v>
      </c>
      <c r="B13" s="14">
        <v>1</v>
      </c>
      <c r="C13" s="14">
        <v>3</v>
      </c>
      <c r="D13" s="14">
        <v>1</v>
      </c>
      <c r="E13" s="14">
        <v>1</v>
      </c>
      <c r="F13" s="14">
        <v>1</v>
      </c>
      <c r="G13" s="14">
        <v>4</v>
      </c>
    </row>
    <row r="14" spans="1:7" x14ac:dyDescent="0.3">
      <c r="A14" s="14">
        <v>11</v>
      </c>
      <c r="B14" s="14">
        <v>1</v>
      </c>
      <c r="C14" s="14">
        <v>3</v>
      </c>
      <c r="D14" s="14">
        <v>1</v>
      </c>
      <c r="E14" s="14">
        <v>1</v>
      </c>
      <c r="F14" s="14">
        <v>1</v>
      </c>
      <c r="G14" s="14">
        <v>1</v>
      </c>
    </row>
    <row r="15" spans="1:7" x14ac:dyDescent="0.3">
      <c r="A15" s="14">
        <v>12</v>
      </c>
      <c r="B15" s="14">
        <v>1</v>
      </c>
      <c r="C15" s="14">
        <v>3</v>
      </c>
      <c r="D15" s="14">
        <v>1</v>
      </c>
      <c r="E15" s="14">
        <v>1</v>
      </c>
      <c r="F15" s="14">
        <v>1</v>
      </c>
      <c r="G15" s="14">
        <v>1</v>
      </c>
    </row>
    <row r="16" spans="1:7" x14ac:dyDescent="0.3">
      <c r="A16" s="14">
        <v>13</v>
      </c>
      <c r="B16" s="14">
        <v>1</v>
      </c>
      <c r="C16" s="14">
        <v>3</v>
      </c>
      <c r="D16" s="14">
        <v>1</v>
      </c>
      <c r="E16" s="14">
        <v>1</v>
      </c>
      <c r="F16" s="14">
        <v>1</v>
      </c>
      <c r="G16" s="14">
        <v>1</v>
      </c>
    </row>
    <row r="17" spans="1:7" x14ac:dyDescent="0.3">
      <c r="A17" s="14">
        <v>14</v>
      </c>
      <c r="B17" s="14">
        <v>1</v>
      </c>
      <c r="C17" s="14">
        <v>2</v>
      </c>
      <c r="D17" s="14">
        <v>1</v>
      </c>
      <c r="E17" s="14">
        <v>1</v>
      </c>
      <c r="F17" s="14">
        <v>1</v>
      </c>
      <c r="G17" s="14">
        <v>3</v>
      </c>
    </row>
    <row r="18" spans="1:7" x14ac:dyDescent="0.3">
      <c r="A18" s="14">
        <v>15</v>
      </c>
      <c r="B18" s="14">
        <v>1</v>
      </c>
      <c r="C18" s="14">
        <v>3</v>
      </c>
      <c r="D18" s="14">
        <v>1</v>
      </c>
      <c r="E18" s="14">
        <v>1</v>
      </c>
      <c r="F18" s="14">
        <v>1</v>
      </c>
      <c r="G18" s="14">
        <v>1</v>
      </c>
    </row>
    <row r="19" spans="1:7" x14ac:dyDescent="0.3">
      <c r="A19" s="14">
        <v>16</v>
      </c>
      <c r="B19" s="14">
        <v>1</v>
      </c>
      <c r="C19" s="14">
        <v>3</v>
      </c>
      <c r="D19" s="14">
        <v>1</v>
      </c>
      <c r="E19" s="14">
        <v>1</v>
      </c>
      <c r="F19" s="14">
        <v>1</v>
      </c>
      <c r="G19" s="14">
        <v>2</v>
      </c>
    </row>
    <row r="20" spans="1:7" x14ac:dyDescent="0.3">
      <c r="A20" s="14">
        <v>17</v>
      </c>
      <c r="B20" s="14">
        <v>1</v>
      </c>
      <c r="C20" s="14">
        <v>3</v>
      </c>
      <c r="D20" s="14">
        <v>1</v>
      </c>
      <c r="E20" s="14">
        <v>1</v>
      </c>
      <c r="F20" s="14">
        <v>1</v>
      </c>
      <c r="G20" s="14">
        <v>2</v>
      </c>
    </row>
    <row r="21" spans="1:7" x14ac:dyDescent="0.3">
      <c r="A21" s="14">
        <v>18</v>
      </c>
      <c r="B21" s="14">
        <v>1</v>
      </c>
      <c r="C21" s="14">
        <v>2</v>
      </c>
      <c r="D21" s="14">
        <v>1</v>
      </c>
      <c r="E21" s="14">
        <v>1</v>
      </c>
      <c r="F21" s="14">
        <v>1</v>
      </c>
      <c r="G21" s="14">
        <v>1</v>
      </c>
    </row>
    <row r="22" spans="1:7" x14ac:dyDescent="0.3">
      <c r="A22" s="14">
        <v>19</v>
      </c>
      <c r="B22" s="14">
        <v>1</v>
      </c>
      <c r="C22" s="14">
        <v>3</v>
      </c>
      <c r="D22" s="14">
        <v>1</v>
      </c>
      <c r="E22" s="14">
        <v>1</v>
      </c>
      <c r="F22" s="14">
        <v>1</v>
      </c>
      <c r="G22" s="14">
        <v>2</v>
      </c>
    </row>
    <row r="23" spans="1:7" x14ac:dyDescent="0.3">
      <c r="A23" s="15">
        <v>20</v>
      </c>
      <c r="B23" s="15">
        <v>1</v>
      </c>
      <c r="C23" s="15">
        <v>3</v>
      </c>
      <c r="D23" s="15">
        <v>1</v>
      </c>
      <c r="E23" s="15">
        <v>1</v>
      </c>
      <c r="F23" s="15">
        <v>1</v>
      </c>
      <c r="G23" s="15">
        <v>1</v>
      </c>
    </row>
    <row r="24" spans="1:7" x14ac:dyDescent="0.3">
      <c r="A24" s="10" t="s">
        <v>9</v>
      </c>
      <c r="B24" s="10">
        <f>SUM(B4:B23)/COUNT(B4:B23)</f>
        <v>1</v>
      </c>
      <c r="C24" s="10">
        <f t="shared" ref="C24:G24" si="0">SUM(C4:C23)/COUNT(C4:C23)</f>
        <v>2.85</v>
      </c>
      <c r="D24" s="10">
        <f t="shared" si="0"/>
        <v>1</v>
      </c>
      <c r="E24" s="10">
        <f t="shared" si="0"/>
        <v>1.1000000000000001</v>
      </c>
      <c r="F24" s="10">
        <f t="shared" si="0"/>
        <v>1</v>
      </c>
      <c r="G24" s="10">
        <f t="shared" si="0"/>
        <v>1.75</v>
      </c>
    </row>
    <row r="25" spans="1:7" x14ac:dyDescent="0.3">
      <c r="A25" s="10" t="s">
        <v>10</v>
      </c>
      <c r="B25" s="10">
        <f>_xlfn.STDEV.S(B4:B23)</f>
        <v>0</v>
      </c>
      <c r="C25" s="13">
        <f t="shared" ref="C25:G25" si="1">_xlfn.STDEV.S(C4:C23)</f>
        <v>0.4893604849295935</v>
      </c>
      <c r="D25" s="13">
        <f t="shared" si="1"/>
        <v>0</v>
      </c>
      <c r="E25" s="13">
        <f t="shared" si="1"/>
        <v>0.44721359549995798</v>
      </c>
      <c r="F25" s="13">
        <f t="shared" si="1"/>
        <v>0</v>
      </c>
      <c r="G25" s="13">
        <f t="shared" si="1"/>
        <v>0.91046546800032602</v>
      </c>
    </row>
    <row r="27" spans="1:7" x14ac:dyDescent="0.3">
      <c r="A27" s="10" t="s">
        <v>56</v>
      </c>
      <c r="B27" s="11" t="s">
        <v>4</v>
      </c>
      <c r="C27" s="11" t="s">
        <v>8</v>
      </c>
      <c r="D27" s="11" t="s">
        <v>122</v>
      </c>
      <c r="E27" s="11" t="s">
        <v>8</v>
      </c>
      <c r="F27" s="11" t="s">
        <v>124</v>
      </c>
      <c r="G27" s="11" t="s">
        <v>8</v>
      </c>
    </row>
    <row r="28" spans="1:7" x14ac:dyDescent="0.3">
      <c r="A28" s="16">
        <v>1</v>
      </c>
      <c r="B28" s="17"/>
      <c r="C28" s="17">
        <v>1</v>
      </c>
      <c r="D28" s="17"/>
      <c r="E28" s="17">
        <v>1</v>
      </c>
      <c r="F28" s="17"/>
      <c r="G28" s="17">
        <v>1</v>
      </c>
    </row>
    <row r="29" spans="1:7" x14ac:dyDescent="0.3">
      <c r="A29" s="16">
        <v>2</v>
      </c>
      <c r="B29" s="17"/>
      <c r="C29" s="17">
        <v>1</v>
      </c>
      <c r="D29" s="17"/>
      <c r="E29" s="17">
        <v>1</v>
      </c>
      <c r="F29" s="17"/>
      <c r="G29" s="17">
        <v>1</v>
      </c>
    </row>
    <row r="30" spans="1:7" x14ac:dyDescent="0.3">
      <c r="A30" s="16">
        <v>3</v>
      </c>
      <c r="B30" s="17"/>
      <c r="C30" s="17">
        <v>1</v>
      </c>
      <c r="D30" s="17"/>
      <c r="E30" s="17">
        <v>1</v>
      </c>
      <c r="F30" s="17"/>
      <c r="G30" s="17">
        <v>2</v>
      </c>
    </row>
    <row r="31" spans="1:7" x14ac:dyDescent="0.3">
      <c r="A31" s="16">
        <v>4</v>
      </c>
      <c r="B31" s="17"/>
      <c r="C31" s="17">
        <v>1</v>
      </c>
      <c r="D31" s="17"/>
      <c r="E31" s="17">
        <v>1</v>
      </c>
      <c r="F31" s="17"/>
      <c r="G31" s="17">
        <v>1</v>
      </c>
    </row>
    <row r="32" spans="1:7" x14ac:dyDescent="0.3">
      <c r="A32" s="16">
        <v>5</v>
      </c>
      <c r="B32" s="17"/>
      <c r="C32" s="17">
        <v>1</v>
      </c>
      <c r="D32" s="17"/>
      <c r="E32" s="17">
        <v>1</v>
      </c>
      <c r="F32" s="17"/>
      <c r="G32" s="17">
        <v>1</v>
      </c>
    </row>
    <row r="33" spans="1:7" x14ac:dyDescent="0.3">
      <c r="A33" s="16">
        <v>6</v>
      </c>
      <c r="B33" s="17"/>
      <c r="C33" s="17">
        <v>1</v>
      </c>
      <c r="D33" s="17"/>
      <c r="E33" s="17">
        <v>1</v>
      </c>
      <c r="F33" s="17"/>
      <c r="G33" s="17">
        <v>1</v>
      </c>
    </row>
    <row r="34" spans="1:7" x14ac:dyDescent="0.3">
      <c r="A34" s="16">
        <v>7</v>
      </c>
      <c r="B34" s="17"/>
      <c r="C34" s="17">
        <v>1</v>
      </c>
      <c r="D34" s="17"/>
      <c r="E34" s="17">
        <v>1</v>
      </c>
      <c r="F34" s="17"/>
      <c r="G34" s="17">
        <v>1</v>
      </c>
    </row>
    <row r="35" spans="1:7" x14ac:dyDescent="0.3">
      <c r="A35" s="16">
        <v>8</v>
      </c>
      <c r="B35" s="17"/>
      <c r="C35" s="17">
        <v>1</v>
      </c>
      <c r="D35" s="17"/>
      <c r="E35" s="17">
        <v>1</v>
      </c>
      <c r="F35" s="17"/>
      <c r="G35" s="17">
        <v>1</v>
      </c>
    </row>
    <row r="36" spans="1:7" x14ac:dyDescent="0.3">
      <c r="A36" s="16">
        <v>9</v>
      </c>
      <c r="B36" s="17"/>
      <c r="C36" s="17">
        <v>1</v>
      </c>
      <c r="D36" s="17"/>
      <c r="E36" s="17">
        <v>1</v>
      </c>
      <c r="F36" s="17"/>
      <c r="G36" s="17">
        <v>1</v>
      </c>
    </row>
    <row r="37" spans="1:7" x14ac:dyDescent="0.3">
      <c r="A37" s="16">
        <v>10</v>
      </c>
      <c r="B37" s="17"/>
      <c r="C37" s="17">
        <v>1</v>
      </c>
      <c r="D37" s="17"/>
      <c r="E37" s="17">
        <v>1</v>
      </c>
      <c r="F37" s="17"/>
      <c r="G37" s="17">
        <v>1</v>
      </c>
    </row>
    <row r="38" spans="1:7" x14ac:dyDescent="0.3">
      <c r="A38" s="16">
        <v>11</v>
      </c>
      <c r="B38" s="17"/>
      <c r="C38" s="17">
        <v>1</v>
      </c>
      <c r="D38" s="17"/>
      <c r="E38" s="17">
        <v>1</v>
      </c>
      <c r="F38" s="17"/>
      <c r="G38" s="17">
        <v>1</v>
      </c>
    </row>
    <row r="39" spans="1:7" x14ac:dyDescent="0.3">
      <c r="A39" s="16">
        <v>12</v>
      </c>
      <c r="B39" s="17"/>
      <c r="C39" s="17">
        <v>2</v>
      </c>
      <c r="D39" s="17"/>
      <c r="E39" s="17">
        <v>1</v>
      </c>
      <c r="F39" s="17"/>
      <c r="G39" s="17">
        <v>1</v>
      </c>
    </row>
    <row r="40" spans="1:7" x14ac:dyDescent="0.3">
      <c r="A40" s="16">
        <v>13</v>
      </c>
      <c r="B40" s="17"/>
      <c r="C40" s="17">
        <v>1</v>
      </c>
      <c r="D40" s="17"/>
      <c r="E40" s="17">
        <v>1</v>
      </c>
      <c r="F40" s="17"/>
      <c r="G40" s="17">
        <v>2</v>
      </c>
    </row>
    <row r="41" spans="1:7" x14ac:dyDescent="0.3">
      <c r="A41" s="16">
        <v>14</v>
      </c>
      <c r="B41" s="17"/>
      <c r="C41" s="17">
        <v>1</v>
      </c>
      <c r="D41" s="17"/>
      <c r="E41" s="17">
        <v>1</v>
      </c>
      <c r="F41" s="17"/>
      <c r="G41" s="17">
        <v>1</v>
      </c>
    </row>
    <row r="42" spans="1:7" x14ac:dyDescent="0.3">
      <c r="A42" s="16">
        <v>15</v>
      </c>
      <c r="B42" s="17"/>
      <c r="C42" s="17">
        <v>1</v>
      </c>
      <c r="D42" s="17"/>
      <c r="E42" s="17">
        <v>1</v>
      </c>
      <c r="F42" s="17"/>
      <c r="G42" s="17">
        <v>1</v>
      </c>
    </row>
    <row r="43" spans="1:7" x14ac:dyDescent="0.3">
      <c r="A43" s="16">
        <v>16</v>
      </c>
      <c r="B43" s="17"/>
      <c r="C43" s="17">
        <v>1</v>
      </c>
      <c r="D43" s="17"/>
      <c r="E43" s="17">
        <v>1</v>
      </c>
      <c r="F43" s="17"/>
      <c r="G43" s="17">
        <v>1</v>
      </c>
    </row>
    <row r="44" spans="1:7" x14ac:dyDescent="0.3">
      <c r="A44" s="16">
        <v>17</v>
      </c>
      <c r="B44" s="17"/>
      <c r="C44" s="17">
        <v>1</v>
      </c>
      <c r="D44" s="17"/>
      <c r="E44" s="17">
        <v>1</v>
      </c>
      <c r="F44" s="17"/>
      <c r="G44" s="17">
        <v>1</v>
      </c>
    </row>
    <row r="45" spans="1:7" x14ac:dyDescent="0.3">
      <c r="A45" s="16">
        <v>18</v>
      </c>
      <c r="B45" s="17"/>
      <c r="C45" s="17">
        <v>1</v>
      </c>
      <c r="D45" s="17"/>
      <c r="E45" s="17">
        <v>1</v>
      </c>
      <c r="F45" s="17"/>
      <c r="G45" s="17">
        <v>1</v>
      </c>
    </row>
    <row r="46" spans="1:7" x14ac:dyDescent="0.3">
      <c r="A46" s="16">
        <v>19</v>
      </c>
      <c r="B46" s="17"/>
      <c r="C46" s="17">
        <v>1</v>
      </c>
      <c r="D46" s="17"/>
      <c r="E46" s="17">
        <v>1</v>
      </c>
      <c r="F46" s="17"/>
      <c r="G46" s="17">
        <v>1</v>
      </c>
    </row>
    <row r="47" spans="1:7" x14ac:dyDescent="0.3">
      <c r="A47" s="16">
        <v>20</v>
      </c>
      <c r="B47" s="17"/>
      <c r="C47" s="17">
        <v>1</v>
      </c>
      <c r="D47" s="17"/>
      <c r="E47" s="17">
        <v>1</v>
      </c>
      <c r="F47" s="17"/>
      <c r="G47" s="17">
        <v>1</v>
      </c>
    </row>
    <row r="48" spans="1:7" x14ac:dyDescent="0.3">
      <c r="A48" s="10" t="s">
        <v>9</v>
      </c>
      <c r="B48" s="10"/>
      <c r="C48" s="10">
        <f>SUM(C28:C47)/COUNT(C28:C47)</f>
        <v>1.05</v>
      </c>
      <c r="D48" s="10"/>
      <c r="E48" s="10">
        <f>SUM(E28:E47)/COUNT(E28:E47)</f>
        <v>1</v>
      </c>
      <c r="F48" s="10"/>
      <c r="G48" s="10">
        <f>SUM(G28:G47)/COUNT(G28:G47)</f>
        <v>1.1000000000000001</v>
      </c>
    </row>
    <row r="49" spans="1:7" x14ac:dyDescent="0.3">
      <c r="A49" s="10" t="s">
        <v>10</v>
      </c>
      <c r="B49" s="10"/>
      <c r="C49" s="10">
        <f>_xlfn.STDEV.S(C28:C47)</f>
        <v>0.22360679774997888</v>
      </c>
      <c r="D49" s="10"/>
      <c r="E49" s="13">
        <f>_xlfn.STDEV.S(E28:E47)</f>
        <v>0</v>
      </c>
      <c r="F49" s="10"/>
      <c r="G49" s="13">
        <f>_xlfn.STDEV.S(G28:G47)</f>
        <v>0.3077935056255463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CEED4-571E-48A5-9D77-DAE9FDC1C5A1}">
  <dimension ref="A1:E22"/>
  <sheetViews>
    <sheetView workbookViewId="0">
      <selection activeCell="G12" sqref="G12"/>
    </sheetView>
  </sheetViews>
  <sheetFormatPr baseColWidth="10" defaultRowHeight="14.4" x14ac:dyDescent="0.3"/>
  <cols>
    <col min="2" max="2" width="18.5546875" bestFit="1" customWidth="1"/>
    <col min="3" max="3" width="12.21875" bestFit="1" customWidth="1"/>
  </cols>
  <sheetData>
    <row r="1" spans="1:5" x14ac:dyDescent="0.3">
      <c r="A1" s="1" t="s">
        <v>105</v>
      </c>
    </row>
    <row r="3" spans="1:5" s="1" customFormat="1" x14ac:dyDescent="0.3">
      <c r="A3" s="18" t="s">
        <v>7</v>
      </c>
      <c r="B3" s="18" t="s">
        <v>121</v>
      </c>
      <c r="C3" s="18" t="s">
        <v>120</v>
      </c>
      <c r="D3" s="18" t="s">
        <v>57</v>
      </c>
      <c r="E3" s="18" t="s">
        <v>58</v>
      </c>
    </row>
    <row r="4" spans="1:5" x14ac:dyDescent="0.3">
      <c r="A4" s="19">
        <v>1</v>
      </c>
      <c r="B4" s="19">
        <v>5</v>
      </c>
      <c r="C4" s="19">
        <v>1</v>
      </c>
      <c r="D4" s="19">
        <v>3</v>
      </c>
      <c r="E4" s="19"/>
    </row>
    <row r="5" spans="1:5" x14ac:dyDescent="0.3">
      <c r="A5" s="19">
        <v>2</v>
      </c>
      <c r="B5" s="19">
        <v>5</v>
      </c>
      <c r="C5" s="19">
        <v>0</v>
      </c>
      <c r="D5" s="19">
        <v>5</v>
      </c>
      <c r="E5" s="19" t="s">
        <v>59</v>
      </c>
    </row>
    <row r="6" spans="1:5" x14ac:dyDescent="0.3">
      <c r="A6" s="19">
        <v>3</v>
      </c>
      <c r="B6" s="19">
        <v>5</v>
      </c>
      <c r="C6" s="19">
        <v>1</v>
      </c>
      <c r="D6" s="19">
        <v>4</v>
      </c>
      <c r="E6" s="19"/>
    </row>
    <row r="7" spans="1:5" x14ac:dyDescent="0.3">
      <c r="A7" s="19">
        <v>4</v>
      </c>
      <c r="B7" s="19">
        <v>5</v>
      </c>
      <c r="C7" s="19">
        <v>1</v>
      </c>
      <c r="D7" s="19">
        <v>3</v>
      </c>
      <c r="E7" s="19"/>
    </row>
    <row r="8" spans="1:5" x14ac:dyDescent="0.3">
      <c r="A8" s="19">
        <v>5</v>
      </c>
      <c r="B8" s="19">
        <v>5</v>
      </c>
      <c r="C8" s="19">
        <v>0</v>
      </c>
      <c r="D8" s="19">
        <v>5</v>
      </c>
      <c r="E8" s="19" t="s">
        <v>59</v>
      </c>
    </row>
    <row r="9" spans="1:5" x14ac:dyDescent="0.3">
      <c r="A9" s="19">
        <v>6</v>
      </c>
      <c r="B9" s="19">
        <v>3</v>
      </c>
      <c r="C9" s="19">
        <v>0</v>
      </c>
      <c r="D9" s="19">
        <v>5</v>
      </c>
      <c r="E9" s="19" t="s">
        <v>59</v>
      </c>
    </row>
    <row r="10" spans="1:5" x14ac:dyDescent="0.3">
      <c r="A10" s="19">
        <v>7</v>
      </c>
      <c r="B10" s="19">
        <v>3</v>
      </c>
      <c r="C10" s="19">
        <v>1</v>
      </c>
      <c r="D10" s="19">
        <v>2</v>
      </c>
      <c r="E10" s="19"/>
    </row>
    <row r="11" spans="1:5" x14ac:dyDescent="0.3">
      <c r="A11" s="19">
        <v>8</v>
      </c>
      <c r="B11" s="19">
        <v>3</v>
      </c>
      <c r="C11" s="19">
        <v>1</v>
      </c>
      <c r="D11" s="19">
        <v>4</v>
      </c>
      <c r="E11" s="19"/>
    </row>
    <row r="12" spans="1:5" x14ac:dyDescent="0.3">
      <c r="A12" s="19">
        <v>9</v>
      </c>
      <c r="B12" s="19">
        <v>3</v>
      </c>
      <c r="C12" s="19">
        <v>0</v>
      </c>
      <c r="D12" s="19">
        <v>5</v>
      </c>
      <c r="E12" s="19" t="s">
        <v>59</v>
      </c>
    </row>
    <row r="13" spans="1:5" x14ac:dyDescent="0.3">
      <c r="A13" s="19">
        <v>10</v>
      </c>
      <c r="B13" s="19">
        <v>3</v>
      </c>
      <c r="C13" s="19">
        <v>1</v>
      </c>
      <c r="D13" s="19">
        <v>3</v>
      </c>
      <c r="E13" s="19"/>
    </row>
    <row r="14" spans="1:5" x14ac:dyDescent="0.3">
      <c r="A14" s="19">
        <v>11</v>
      </c>
      <c r="B14" s="19">
        <v>2</v>
      </c>
      <c r="C14" s="19">
        <v>0</v>
      </c>
      <c r="D14" s="19">
        <v>5</v>
      </c>
      <c r="E14" s="19" t="s">
        <v>59</v>
      </c>
    </row>
    <row r="15" spans="1:5" x14ac:dyDescent="0.3">
      <c r="A15" s="19">
        <v>12</v>
      </c>
      <c r="B15" s="19">
        <v>2</v>
      </c>
      <c r="C15" s="19">
        <v>0</v>
      </c>
      <c r="D15" s="19">
        <v>5</v>
      </c>
      <c r="E15" s="19" t="s">
        <v>59</v>
      </c>
    </row>
    <row r="16" spans="1:5" x14ac:dyDescent="0.3">
      <c r="A16" s="19">
        <v>13</v>
      </c>
      <c r="B16" s="19">
        <v>2</v>
      </c>
      <c r="C16" s="19">
        <v>1</v>
      </c>
      <c r="D16" s="19">
        <v>2</v>
      </c>
      <c r="E16" s="19"/>
    </row>
    <row r="17" spans="1:5" x14ac:dyDescent="0.3">
      <c r="A17" s="19">
        <v>14</v>
      </c>
      <c r="B17" s="19">
        <v>4</v>
      </c>
      <c r="C17" s="19">
        <v>1</v>
      </c>
      <c r="D17" s="19">
        <v>3</v>
      </c>
      <c r="E17" s="19"/>
    </row>
    <row r="18" spans="1:5" x14ac:dyDescent="0.3">
      <c r="A18" s="19">
        <v>15</v>
      </c>
      <c r="B18" s="19">
        <v>4</v>
      </c>
      <c r="C18" s="19">
        <v>0</v>
      </c>
      <c r="D18" s="19">
        <v>5</v>
      </c>
      <c r="E18" s="19" t="s">
        <v>59</v>
      </c>
    </row>
    <row r="19" spans="1:5" x14ac:dyDescent="0.3">
      <c r="A19" s="19">
        <v>16</v>
      </c>
      <c r="B19" s="19">
        <v>4</v>
      </c>
      <c r="C19" s="19">
        <v>0</v>
      </c>
      <c r="D19" s="19">
        <v>5</v>
      </c>
      <c r="E19" s="19" t="s">
        <v>59</v>
      </c>
    </row>
    <row r="20" spans="1:5" x14ac:dyDescent="0.3">
      <c r="A20" s="19">
        <v>17</v>
      </c>
      <c r="B20" s="19">
        <v>4</v>
      </c>
      <c r="C20" s="19">
        <v>0</v>
      </c>
      <c r="D20" s="19">
        <v>5</v>
      </c>
      <c r="E20" s="19" t="s">
        <v>59</v>
      </c>
    </row>
    <row r="22" spans="1:5" x14ac:dyDescent="0.3">
      <c r="A22" s="1" t="s">
        <v>60</v>
      </c>
      <c r="B22" s="1"/>
      <c r="C22" s="3">
        <f>SUM(C4:C20)/COUNT(B4:B20)</f>
        <v>0.47058823529411764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5433A-1F05-43D3-932C-AC7BC0119D98}">
  <dimension ref="A1:T86"/>
  <sheetViews>
    <sheetView zoomScale="98" workbookViewId="0">
      <selection activeCell="J18" sqref="J18"/>
    </sheetView>
  </sheetViews>
  <sheetFormatPr baseColWidth="10" defaultRowHeight="14.4" x14ac:dyDescent="0.3"/>
  <cols>
    <col min="1" max="1" width="21" bestFit="1" customWidth="1"/>
    <col min="2" max="2" width="10.109375" bestFit="1" customWidth="1"/>
    <col min="3" max="3" width="12.21875" bestFit="1" customWidth="1"/>
    <col min="4" max="4" width="15.6640625" bestFit="1" customWidth="1"/>
    <col min="5" max="5" width="12.21875" bestFit="1" customWidth="1"/>
    <col min="6" max="6" width="15.6640625" bestFit="1" customWidth="1"/>
  </cols>
  <sheetData>
    <row r="1" spans="1:20" x14ac:dyDescent="0.3">
      <c r="A1" s="1" t="s">
        <v>40</v>
      </c>
      <c r="B1" s="1"/>
      <c r="C1" s="1"/>
      <c r="H1" s="1"/>
      <c r="I1" s="1"/>
      <c r="J1" s="1"/>
      <c r="O1" s="1"/>
      <c r="P1" s="1"/>
      <c r="Q1" s="1"/>
    </row>
    <row r="2" spans="1:20" x14ac:dyDescent="0.3">
      <c r="A2" s="18" t="s">
        <v>7</v>
      </c>
      <c r="B2" s="18" t="s">
        <v>11</v>
      </c>
      <c r="C2" s="18" t="s">
        <v>113</v>
      </c>
      <c r="D2" s="18" t="s">
        <v>14</v>
      </c>
      <c r="E2" s="18" t="s">
        <v>12</v>
      </c>
      <c r="F2" s="1"/>
      <c r="H2" s="1"/>
      <c r="I2" s="1"/>
      <c r="J2" s="1"/>
      <c r="K2" s="1"/>
      <c r="L2" s="1"/>
      <c r="M2" s="1"/>
      <c r="O2" s="1"/>
      <c r="P2" s="1"/>
      <c r="Q2" s="1"/>
      <c r="R2" s="1"/>
      <c r="S2" s="1"/>
      <c r="T2" s="1"/>
    </row>
    <row r="3" spans="1:20" x14ac:dyDescent="0.3">
      <c r="A3" s="19">
        <v>1</v>
      </c>
      <c r="B3" s="19">
        <v>1</v>
      </c>
      <c r="C3" s="19">
        <v>2600</v>
      </c>
      <c r="D3" s="20">
        <f>C3*9.81/1000</f>
        <v>25.506</v>
      </c>
      <c r="E3" s="19">
        <v>1</v>
      </c>
      <c r="K3" s="2"/>
      <c r="R3" s="2"/>
    </row>
    <row r="4" spans="1:20" x14ac:dyDescent="0.3">
      <c r="A4" s="19">
        <v>2</v>
      </c>
      <c r="B4" s="19">
        <v>1</v>
      </c>
      <c r="C4" s="19">
        <v>2680</v>
      </c>
      <c r="D4" s="20">
        <f t="shared" ref="D4:D32" si="0">C4*9.81/1000</f>
        <v>26.290800000000004</v>
      </c>
      <c r="E4" s="19">
        <v>1</v>
      </c>
      <c r="K4" s="2"/>
      <c r="R4" s="2"/>
    </row>
    <row r="5" spans="1:20" x14ac:dyDescent="0.3">
      <c r="A5" s="19">
        <v>3</v>
      </c>
      <c r="B5" s="19">
        <v>1</v>
      </c>
      <c r="C5" s="19">
        <v>2500</v>
      </c>
      <c r="D5" s="20">
        <f t="shared" si="0"/>
        <v>24.524999999999999</v>
      </c>
      <c r="E5" s="19">
        <v>1</v>
      </c>
      <c r="K5" s="2"/>
      <c r="R5" s="2"/>
    </row>
    <row r="6" spans="1:20" x14ac:dyDescent="0.3">
      <c r="A6" s="19">
        <v>4</v>
      </c>
      <c r="B6" s="19">
        <v>1</v>
      </c>
      <c r="C6" s="19">
        <v>2550</v>
      </c>
      <c r="D6" s="20">
        <f t="shared" si="0"/>
        <v>25.015499999999999</v>
      </c>
      <c r="E6" s="19">
        <v>1</v>
      </c>
      <c r="K6" s="2"/>
      <c r="R6" s="2"/>
    </row>
    <row r="7" spans="1:20" x14ac:dyDescent="0.3">
      <c r="A7" s="19">
        <v>5</v>
      </c>
      <c r="B7" s="19">
        <v>1</v>
      </c>
      <c r="C7" s="19">
        <v>2400</v>
      </c>
      <c r="D7" s="20">
        <f t="shared" si="0"/>
        <v>23.544</v>
      </c>
      <c r="E7" s="19">
        <v>1</v>
      </c>
      <c r="K7" s="2"/>
      <c r="R7" s="2"/>
    </row>
    <row r="8" spans="1:20" x14ac:dyDescent="0.3">
      <c r="A8" s="19">
        <v>6</v>
      </c>
      <c r="B8" s="19">
        <v>1</v>
      </c>
      <c r="C8" s="19">
        <v>2650</v>
      </c>
      <c r="D8" s="20">
        <f t="shared" si="0"/>
        <v>25.996500000000001</v>
      </c>
      <c r="E8" s="19">
        <v>1</v>
      </c>
      <c r="K8" s="2"/>
      <c r="R8" s="2"/>
    </row>
    <row r="9" spans="1:20" x14ac:dyDescent="0.3">
      <c r="A9" s="19">
        <v>7</v>
      </c>
      <c r="B9" s="19">
        <v>1</v>
      </c>
      <c r="C9" s="19">
        <v>2900</v>
      </c>
      <c r="D9" s="20">
        <f t="shared" si="0"/>
        <v>28.449000000000002</v>
      </c>
      <c r="E9" s="19">
        <v>1</v>
      </c>
      <c r="K9" s="2"/>
      <c r="R9" s="2"/>
    </row>
    <row r="10" spans="1:20" x14ac:dyDescent="0.3">
      <c r="A10" s="19">
        <v>8</v>
      </c>
      <c r="B10" s="19">
        <v>1</v>
      </c>
      <c r="C10" s="19">
        <v>2630</v>
      </c>
      <c r="D10" s="20">
        <f t="shared" si="0"/>
        <v>25.800300000000004</v>
      </c>
      <c r="E10" s="19">
        <v>1</v>
      </c>
      <c r="K10" s="2"/>
      <c r="R10" s="2"/>
    </row>
    <row r="11" spans="1:20" x14ac:dyDescent="0.3">
      <c r="A11" s="19">
        <v>9</v>
      </c>
      <c r="B11" s="19">
        <v>1</v>
      </c>
      <c r="C11" s="19">
        <v>2800</v>
      </c>
      <c r="D11" s="20">
        <f t="shared" si="0"/>
        <v>27.468</v>
      </c>
      <c r="E11" s="19">
        <v>1</v>
      </c>
      <c r="K11" s="2"/>
      <c r="R11" s="2"/>
    </row>
    <row r="12" spans="1:20" x14ac:dyDescent="0.3">
      <c r="A12" s="19">
        <v>10</v>
      </c>
      <c r="B12" s="19">
        <v>1</v>
      </c>
      <c r="C12" s="19">
        <v>2630</v>
      </c>
      <c r="D12" s="20">
        <f t="shared" si="0"/>
        <v>25.800300000000004</v>
      </c>
      <c r="E12" s="19">
        <v>1</v>
      </c>
      <c r="K12" s="2"/>
      <c r="R12" s="2"/>
    </row>
    <row r="13" spans="1:20" x14ac:dyDescent="0.3">
      <c r="A13" s="19">
        <v>11</v>
      </c>
      <c r="B13" s="19">
        <v>2</v>
      </c>
      <c r="C13" s="19">
        <v>4300</v>
      </c>
      <c r="D13" s="20">
        <f t="shared" si="0"/>
        <v>42.183</v>
      </c>
      <c r="E13" s="19">
        <v>1</v>
      </c>
      <c r="K13" s="2"/>
      <c r="R13" s="2"/>
    </row>
    <row r="14" spans="1:20" x14ac:dyDescent="0.3">
      <c r="A14" s="19">
        <v>12</v>
      </c>
      <c r="B14" s="19">
        <v>2</v>
      </c>
      <c r="C14" s="19">
        <v>4400</v>
      </c>
      <c r="D14" s="20">
        <f t="shared" si="0"/>
        <v>43.164000000000001</v>
      </c>
      <c r="E14" s="19">
        <v>1</v>
      </c>
      <c r="K14" s="2"/>
      <c r="R14" s="2"/>
    </row>
    <row r="15" spans="1:20" x14ac:dyDescent="0.3">
      <c r="A15" s="19">
        <v>13</v>
      </c>
      <c r="B15" s="19">
        <v>2</v>
      </c>
      <c r="C15" s="19">
        <v>3600</v>
      </c>
      <c r="D15" s="20">
        <f t="shared" si="0"/>
        <v>35.316000000000003</v>
      </c>
      <c r="E15" s="19">
        <v>1</v>
      </c>
      <c r="K15" s="2"/>
      <c r="R15" s="2"/>
    </row>
    <row r="16" spans="1:20" x14ac:dyDescent="0.3">
      <c r="A16" s="19">
        <v>14</v>
      </c>
      <c r="B16" s="19">
        <v>2</v>
      </c>
      <c r="C16" s="19">
        <v>3990</v>
      </c>
      <c r="D16" s="20">
        <f t="shared" si="0"/>
        <v>39.1419</v>
      </c>
      <c r="E16" s="19">
        <v>1</v>
      </c>
      <c r="K16" s="2"/>
      <c r="R16" s="2"/>
    </row>
    <row r="17" spans="1:18" x14ac:dyDescent="0.3">
      <c r="A17" s="19">
        <v>15</v>
      </c>
      <c r="B17" s="19">
        <v>2</v>
      </c>
      <c r="C17" s="19">
        <v>4200</v>
      </c>
      <c r="D17" s="20">
        <f t="shared" si="0"/>
        <v>41.201999999999998</v>
      </c>
      <c r="E17" s="19">
        <v>1</v>
      </c>
      <c r="K17" s="2"/>
      <c r="R17" s="2"/>
    </row>
    <row r="18" spans="1:18" x14ac:dyDescent="0.3">
      <c r="A18" s="19">
        <v>16</v>
      </c>
      <c r="B18" s="19">
        <v>2</v>
      </c>
      <c r="C18" s="19">
        <v>4600</v>
      </c>
      <c r="D18" s="20">
        <f t="shared" si="0"/>
        <v>45.125999999999998</v>
      </c>
      <c r="E18" s="19">
        <v>1</v>
      </c>
      <c r="K18" s="2"/>
      <c r="R18" s="2"/>
    </row>
    <row r="19" spans="1:18" x14ac:dyDescent="0.3">
      <c r="A19" s="19">
        <v>17</v>
      </c>
      <c r="B19" s="19">
        <v>2</v>
      </c>
      <c r="C19" s="19">
        <v>4530</v>
      </c>
      <c r="D19" s="20">
        <f t="shared" si="0"/>
        <v>44.439300000000003</v>
      </c>
      <c r="E19" s="19">
        <v>1</v>
      </c>
      <c r="K19" s="2"/>
      <c r="R19" s="2"/>
    </row>
    <row r="20" spans="1:18" x14ac:dyDescent="0.3">
      <c r="A20" s="19">
        <v>18</v>
      </c>
      <c r="B20" s="19">
        <v>2</v>
      </c>
      <c r="C20" s="19">
        <v>4450</v>
      </c>
      <c r="D20" s="20">
        <f t="shared" si="0"/>
        <v>43.654499999999999</v>
      </c>
      <c r="E20" s="19">
        <v>1</v>
      </c>
      <c r="K20" s="2"/>
      <c r="R20" s="2"/>
    </row>
    <row r="21" spans="1:18" x14ac:dyDescent="0.3">
      <c r="A21" s="19">
        <v>19</v>
      </c>
      <c r="B21" s="19">
        <v>2</v>
      </c>
      <c r="C21" s="19">
        <v>4300</v>
      </c>
      <c r="D21" s="20">
        <f t="shared" si="0"/>
        <v>42.183</v>
      </c>
      <c r="E21" s="19">
        <v>1</v>
      </c>
      <c r="K21" s="2"/>
      <c r="R21" s="2"/>
    </row>
    <row r="22" spans="1:18" x14ac:dyDescent="0.3">
      <c r="A22" s="19">
        <v>20</v>
      </c>
      <c r="B22" s="19">
        <v>2</v>
      </c>
      <c r="C22" s="19">
        <v>4200</v>
      </c>
      <c r="D22" s="20">
        <f t="shared" si="0"/>
        <v>41.201999999999998</v>
      </c>
      <c r="E22" s="19">
        <v>1</v>
      </c>
      <c r="K22" s="2"/>
      <c r="R22" s="2"/>
    </row>
    <row r="23" spans="1:18" x14ac:dyDescent="0.3">
      <c r="A23" s="19">
        <v>21</v>
      </c>
      <c r="B23" s="19">
        <v>3</v>
      </c>
      <c r="C23" s="19">
        <v>4930</v>
      </c>
      <c r="D23" s="20">
        <f t="shared" si="0"/>
        <v>48.363300000000002</v>
      </c>
      <c r="E23" s="19">
        <v>1</v>
      </c>
      <c r="K23" s="2"/>
      <c r="R23" s="2"/>
    </row>
    <row r="24" spans="1:18" x14ac:dyDescent="0.3">
      <c r="A24" s="19">
        <v>22</v>
      </c>
      <c r="B24" s="19">
        <v>3</v>
      </c>
      <c r="C24" s="19">
        <v>4980</v>
      </c>
      <c r="D24" s="20">
        <f t="shared" si="0"/>
        <v>48.8538</v>
      </c>
      <c r="E24" s="19">
        <v>1</v>
      </c>
      <c r="K24" s="2"/>
      <c r="R24" s="2"/>
    </row>
    <row r="25" spans="1:18" x14ac:dyDescent="0.3">
      <c r="A25" s="19">
        <v>23</v>
      </c>
      <c r="B25" s="19">
        <v>3</v>
      </c>
      <c r="C25" s="19">
        <v>4270</v>
      </c>
      <c r="D25" s="20">
        <f t="shared" si="0"/>
        <v>41.888700000000007</v>
      </c>
      <c r="E25" s="19">
        <v>1</v>
      </c>
      <c r="K25" s="2"/>
      <c r="R25" s="2"/>
    </row>
    <row r="26" spans="1:18" x14ac:dyDescent="0.3">
      <c r="A26" s="19">
        <v>24</v>
      </c>
      <c r="B26" s="19">
        <v>3</v>
      </c>
      <c r="C26" s="19">
        <v>4960</v>
      </c>
      <c r="D26" s="20">
        <f t="shared" si="0"/>
        <v>48.657600000000009</v>
      </c>
      <c r="E26" s="19">
        <v>1</v>
      </c>
      <c r="K26" s="2"/>
      <c r="R26" s="2"/>
    </row>
    <row r="27" spans="1:18" x14ac:dyDescent="0.3">
      <c r="A27" s="19">
        <v>25</v>
      </c>
      <c r="B27" s="19">
        <v>3</v>
      </c>
      <c r="C27" s="19">
        <v>4650</v>
      </c>
      <c r="D27" s="20">
        <f t="shared" si="0"/>
        <v>45.616500000000002</v>
      </c>
      <c r="E27" s="19">
        <v>1</v>
      </c>
      <c r="K27" s="2"/>
      <c r="R27" s="2"/>
    </row>
    <row r="28" spans="1:18" x14ac:dyDescent="0.3">
      <c r="A28" s="19">
        <v>26</v>
      </c>
      <c r="B28" s="19">
        <v>3</v>
      </c>
      <c r="C28" s="19">
        <v>4900</v>
      </c>
      <c r="D28" s="20">
        <f t="shared" si="0"/>
        <v>48.069000000000003</v>
      </c>
      <c r="E28" s="19">
        <v>1</v>
      </c>
      <c r="K28" s="2"/>
      <c r="R28" s="2"/>
    </row>
    <row r="29" spans="1:18" x14ac:dyDescent="0.3">
      <c r="A29" s="19">
        <v>27</v>
      </c>
      <c r="B29" s="19">
        <v>3</v>
      </c>
      <c r="C29" s="19">
        <v>4720</v>
      </c>
      <c r="D29" s="20">
        <f t="shared" si="0"/>
        <v>46.303200000000004</v>
      </c>
      <c r="E29" s="19">
        <v>1</v>
      </c>
      <c r="K29" s="2"/>
      <c r="R29" s="2"/>
    </row>
    <row r="30" spans="1:18" x14ac:dyDescent="0.3">
      <c r="A30" s="19">
        <v>28</v>
      </c>
      <c r="B30" s="19">
        <v>3</v>
      </c>
      <c r="C30" s="19">
        <v>4660</v>
      </c>
      <c r="D30" s="20">
        <f t="shared" si="0"/>
        <v>45.714600000000004</v>
      </c>
      <c r="E30" s="19">
        <v>1</v>
      </c>
      <c r="K30" s="2"/>
      <c r="R30" s="2"/>
    </row>
    <row r="31" spans="1:18" x14ac:dyDescent="0.3">
      <c r="A31" s="19">
        <v>29</v>
      </c>
      <c r="B31" s="19">
        <v>3</v>
      </c>
      <c r="C31" s="19">
        <v>4990</v>
      </c>
      <c r="D31" s="20">
        <f t="shared" si="0"/>
        <v>48.951900000000002</v>
      </c>
      <c r="E31" s="19">
        <v>1</v>
      </c>
      <c r="K31" s="2"/>
      <c r="R31" s="2"/>
    </row>
    <row r="32" spans="1:18" x14ac:dyDescent="0.3">
      <c r="A32" s="19">
        <v>30</v>
      </c>
      <c r="B32" s="19">
        <v>3</v>
      </c>
      <c r="C32" s="19">
        <v>4800</v>
      </c>
      <c r="D32" s="20">
        <f t="shared" si="0"/>
        <v>47.088000000000001</v>
      </c>
      <c r="E32" s="19">
        <v>1</v>
      </c>
      <c r="K32" s="2"/>
      <c r="R32" s="2"/>
    </row>
    <row r="33" spans="1:6" x14ac:dyDescent="0.3">
      <c r="D33" s="2"/>
    </row>
    <row r="34" spans="1:6" x14ac:dyDescent="0.3">
      <c r="D34" s="2"/>
    </row>
    <row r="35" spans="1:6" x14ac:dyDescent="0.3">
      <c r="D35" s="2"/>
    </row>
    <row r="36" spans="1:6" x14ac:dyDescent="0.3">
      <c r="D36" s="2"/>
    </row>
    <row r="37" spans="1:6" x14ac:dyDescent="0.3">
      <c r="D37" s="2"/>
    </row>
    <row r="38" spans="1:6" x14ac:dyDescent="0.3">
      <c r="D38" s="2"/>
    </row>
    <row r="39" spans="1:6" x14ac:dyDescent="0.3">
      <c r="D39" s="2"/>
    </row>
    <row r="40" spans="1:6" x14ac:dyDescent="0.3">
      <c r="D40" s="2"/>
    </row>
    <row r="41" spans="1:6" x14ac:dyDescent="0.3">
      <c r="D41" s="2"/>
    </row>
    <row r="42" spans="1:6" x14ac:dyDescent="0.3">
      <c r="D42" s="2"/>
    </row>
    <row r="45" spans="1:6" x14ac:dyDescent="0.3">
      <c r="A45" s="1" t="s">
        <v>16</v>
      </c>
    </row>
    <row r="46" spans="1:6" x14ac:dyDescent="0.3">
      <c r="A46" s="1" t="s">
        <v>7</v>
      </c>
      <c r="B46" s="1" t="s">
        <v>11</v>
      </c>
      <c r="C46" s="1" t="s">
        <v>13</v>
      </c>
      <c r="D46" s="1" t="s">
        <v>14</v>
      </c>
      <c r="E46" s="1" t="s">
        <v>12</v>
      </c>
      <c r="F46" s="1" t="s">
        <v>15</v>
      </c>
    </row>
    <row r="47" spans="1:6" x14ac:dyDescent="0.3">
      <c r="A47">
        <v>1</v>
      </c>
      <c r="B47">
        <v>1</v>
      </c>
      <c r="C47">
        <v>530</v>
      </c>
      <c r="D47" s="2">
        <f>C47*9.81/1000</f>
        <v>5.1993</v>
      </c>
      <c r="E47">
        <v>1</v>
      </c>
      <c r="F47">
        <v>0</v>
      </c>
    </row>
    <row r="48" spans="1:6" x14ac:dyDescent="0.3">
      <c r="A48">
        <v>2</v>
      </c>
      <c r="B48">
        <v>1</v>
      </c>
      <c r="D48" s="2">
        <f t="shared" ref="D48:D86" si="1">C48*9.81/1000</f>
        <v>0</v>
      </c>
      <c r="F48">
        <v>0</v>
      </c>
    </row>
    <row r="49" spans="1:6" x14ac:dyDescent="0.3">
      <c r="A49">
        <v>3</v>
      </c>
      <c r="B49">
        <v>1</v>
      </c>
      <c r="D49" s="2">
        <f t="shared" si="1"/>
        <v>0</v>
      </c>
      <c r="F49">
        <v>0</v>
      </c>
    </row>
    <row r="50" spans="1:6" x14ac:dyDescent="0.3">
      <c r="A50">
        <v>4</v>
      </c>
      <c r="B50">
        <v>1</v>
      </c>
      <c r="D50" s="2">
        <f t="shared" si="1"/>
        <v>0</v>
      </c>
      <c r="F50">
        <v>0</v>
      </c>
    </row>
    <row r="51" spans="1:6" x14ac:dyDescent="0.3">
      <c r="A51">
        <v>5</v>
      </c>
      <c r="B51">
        <v>1</v>
      </c>
      <c r="D51" s="2">
        <f t="shared" si="1"/>
        <v>0</v>
      </c>
      <c r="F51">
        <v>0</v>
      </c>
    </row>
    <row r="52" spans="1:6" x14ac:dyDescent="0.3">
      <c r="A52">
        <v>6</v>
      </c>
      <c r="B52">
        <v>1</v>
      </c>
      <c r="D52" s="2">
        <f t="shared" si="1"/>
        <v>0</v>
      </c>
      <c r="F52">
        <v>0</v>
      </c>
    </row>
    <row r="53" spans="1:6" x14ac:dyDescent="0.3">
      <c r="A53">
        <v>7</v>
      </c>
      <c r="B53">
        <v>1</v>
      </c>
      <c r="D53" s="2">
        <f t="shared" si="1"/>
        <v>0</v>
      </c>
      <c r="F53">
        <v>0</v>
      </c>
    </row>
    <row r="54" spans="1:6" x14ac:dyDescent="0.3">
      <c r="A54">
        <v>8</v>
      </c>
      <c r="B54">
        <v>1</v>
      </c>
      <c r="D54" s="2">
        <f t="shared" si="1"/>
        <v>0</v>
      </c>
      <c r="F54">
        <v>0</v>
      </c>
    </row>
    <row r="55" spans="1:6" x14ac:dyDescent="0.3">
      <c r="A55">
        <v>9</v>
      </c>
      <c r="B55">
        <v>1</v>
      </c>
      <c r="D55" s="2">
        <f t="shared" si="1"/>
        <v>0</v>
      </c>
      <c r="F55">
        <v>0</v>
      </c>
    </row>
    <row r="56" spans="1:6" x14ac:dyDescent="0.3">
      <c r="A56">
        <v>10</v>
      </c>
      <c r="B56">
        <v>1</v>
      </c>
      <c r="D56" s="2">
        <f t="shared" si="1"/>
        <v>0</v>
      </c>
      <c r="F56">
        <v>0</v>
      </c>
    </row>
    <row r="57" spans="1:6" x14ac:dyDescent="0.3">
      <c r="A57">
        <v>11</v>
      </c>
      <c r="B57">
        <v>2</v>
      </c>
      <c r="C57">
        <v>700</v>
      </c>
      <c r="D57" s="2">
        <f t="shared" si="1"/>
        <v>6.867</v>
      </c>
      <c r="E57">
        <v>1</v>
      </c>
      <c r="F57">
        <v>0</v>
      </c>
    </row>
    <row r="58" spans="1:6" x14ac:dyDescent="0.3">
      <c r="A58">
        <v>12</v>
      </c>
      <c r="B58">
        <v>2</v>
      </c>
      <c r="D58" s="2">
        <f t="shared" si="1"/>
        <v>0</v>
      </c>
      <c r="F58">
        <v>1</v>
      </c>
    </row>
    <row r="59" spans="1:6" x14ac:dyDescent="0.3">
      <c r="A59">
        <v>13</v>
      </c>
      <c r="B59">
        <v>2</v>
      </c>
      <c r="D59" s="2">
        <f t="shared" si="1"/>
        <v>0</v>
      </c>
      <c r="F59">
        <v>0</v>
      </c>
    </row>
    <row r="60" spans="1:6" x14ac:dyDescent="0.3">
      <c r="A60">
        <v>14</v>
      </c>
      <c r="B60">
        <v>2</v>
      </c>
      <c r="D60" s="2">
        <f t="shared" si="1"/>
        <v>0</v>
      </c>
      <c r="F60">
        <v>0</v>
      </c>
    </row>
    <row r="61" spans="1:6" x14ac:dyDescent="0.3">
      <c r="A61">
        <v>15</v>
      </c>
      <c r="B61">
        <v>2</v>
      </c>
      <c r="D61" s="2">
        <f t="shared" si="1"/>
        <v>0</v>
      </c>
      <c r="F61">
        <v>1</v>
      </c>
    </row>
    <row r="62" spans="1:6" x14ac:dyDescent="0.3">
      <c r="A62">
        <v>16</v>
      </c>
      <c r="B62">
        <v>2</v>
      </c>
      <c r="D62" s="2">
        <f t="shared" si="1"/>
        <v>0</v>
      </c>
      <c r="F62">
        <v>0</v>
      </c>
    </row>
    <row r="63" spans="1:6" x14ac:dyDescent="0.3">
      <c r="A63">
        <v>17</v>
      </c>
      <c r="B63">
        <v>2</v>
      </c>
      <c r="D63" s="2">
        <f t="shared" si="1"/>
        <v>0</v>
      </c>
      <c r="F63">
        <v>0</v>
      </c>
    </row>
    <row r="64" spans="1:6" x14ac:dyDescent="0.3">
      <c r="A64">
        <v>18</v>
      </c>
      <c r="B64">
        <v>2</v>
      </c>
      <c r="D64" s="2">
        <f t="shared" si="1"/>
        <v>0</v>
      </c>
      <c r="F64">
        <v>0</v>
      </c>
    </row>
    <row r="65" spans="1:6" x14ac:dyDescent="0.3">
      <c r="A65">
        <v>19</v>
      </c>
      <c r="B65">
        <v>2</v>
      </c>
      <c r="D65" s="2">
        <f t="shared" si="1"/>
        <v>0</v>
      </c>
      <c r="F65">
        <v>0</v>
      </c>
    </row>
    <row r="66" spans="1:6" x14ac:dyDescent="0.3">
      <c r="A66">
        <v>20</v>
      </c>
      <c r="B66">
        <v>2</v>
      </c>
      <c r="D66" s="2">
        <f t="shared" si="1"/>
        <v>0</v>
      </c>
      <c r="F66">
        <v>1</v>
      </c>
    </row>
    <row r="67" spans="1:6" x14ac:dyDescent="0.3">
      <c r="A67">
        <v>21</v>
      </c>
      <c r="B67">
        <v>3</v>
      </c>
      <c r="C67">
        <v>770</v>
      </c>
      <c r="D67" s="2">
        <f t="shared" si="1"/>
        <v>7.553700000000001</v>
      </c>
      <c r="E67">
        <v>1</v>
      </c>
      <c r="F67">
        <v>2</v>
      </c>
    </row>
    <row r="68" spans="1:6" x14ac:dyDescent="0.3">
      <c r="A68">
        <v>22</v>
      </c>
      <c r="B68">
        <v>3</v>
      </c>
      <c r="D68" s="2">
        <f t="shared" si="1"/>
        <v>0</v>
      </c>
      <c r="F68">
        <v>1</v>
      </c>
    </row>
    <row r="69" spans="1:6" x14ac:dyDescent="0.3">
      <c r="A69">
        <v>23</v>
      </c>
      <c r="B69">
        <v>3</v>
      </c>
      <c r="D69" s="2">
        <f t="shared" si="1"/>
        <v>0</v>
      </c>
      <c r="F69">
        <v>2</v>
      </c>
    </row>
    <row r="70" spans="1:6" x14ac:dyDescent="0.3">
      <c r="A70">
        <v>24</v>
      </c>
      <c r="B70">
        <v>3</v>
      </c>
      <c r="D70" s="2">
        <f t="shared" si="1"/>
        <v>0</v>
      </c>
      <c r="F70">
        <v>3</v>
      </c>
    </row>
    <row r="71" spans="1:6" x14ac:dyDescent="0.3">
      <c r="A71">
        <v>25</v>
      </c>
      <c r="B71">
        <v>3</v>
      </c>
      <c r="D71" s="2">
        <f t="shared" si="1"/>
        <v>0</v>
      </c>
      <c r="F71">
        <v>2</v>
      </c>
    </row>
    <row r="72" spans="1:6" x14ac:dyDescent="0.3">
      <c r="A72">
        <v>26</v>
      </c>
      <c r="B72">
        <v>3</v>
      </c>
      <c r="D72" s="2">
        <f t="shared" si="1"/>
        <v>0</v>
      </c>
      <c r="F72">
        <v>2</v>
      </c>
    </row>
    <row r="73" spans="1:6" x14ac:dyDescent="0.3">
      <c r="A73">
        <v>27</v>
      </c>
      <c r="B73">
        <v>3</v>
      </c>
      <c r="D73" s="2">
        <f t="shared" si="1"/>
        <v>0</v>
      </c>
      <c r="F73">
        <v>3</v>
      </c>
    </row>
    <row r="74" spans="1:6" x14ac:dyDescent="0.3">
      <c r="A74">
        <v>28</v>
      </c>
      <c r="B74">
        <v>3</v>
      </c>
      <c r="D74" s="2">
        <f t="shared" si="1"/>
        <v>0</v>
      </c>
      <c r="F74">
        <v>2</v>
      </c>
    </row>
    <row r="75" spans="1:6" x14ac:dyDescent="0.3">
      <c r="A75">
        <v>29</v>
      </c>
      <c r="B75">
        <v>3</v>
      </c>
      <c r="D75" s="2">
        <f t="shared" si="1"/>
        <v>0</v>
      </c>
      <c r="F75">
        <v>3</v>
      </c>
    </row>
    <row r="76" spans="1:6" x14ac:dyDescent="0.3">
      <c r="A76">
        <v>30</v>
      </c>
      <c r="B76">
        <v>3</v>
      </c>
      <c r="D76" s="2">
        <f t="shared" si="1"/>
        <v>0</v>
      </c>
      <c r="F76">
        <v>2</v>
      </c>
    </row>
    <row r="77" spans="1:6" x14ac:dyDescent="0.3">
      <c r="A77">
        <v>31</v>
      </c>
      <c r="B77">
        <v>4</v>
      </c>
      <c r="C77">
        <v>1900</v>
      </c>
      <c r="D77" s="2">
        <f t="shared" si="1"/>
        <v>18.638999999999999</v>
      </c>
      <c r="E77">
        <v>1</v>
      </c>
    </row>
    <row r="78" spans="1:6" x14ac:dyDescent="0.3">
      <c r="A78">
        <v>32</v>
      </c>
      <c r="B78">
        <v>4</v>
      </c>
      <c r="D78" s="2">
        <f t="shared" si="1"/>
        <v>0</v>
      </c>
    </row>
    <row r="79" spans="1:6" x14ac:dyDescent="0.3">
      <c r="A79">
        <v>33</v>
      </c>
      <c r="B79">
        <v>4</v>
      </c>
      <c r="D79" s="2">
        <f t="shared" si="1"/>
        <v>0</v>
      </c>
    </row>
    <row r="80" spans="1:6" x14ac:dyDescent="0.3">
      <c r="A80">
        <v>34</v>
      </c>
      <c r="B80">
        <v>4</v>
      </c>
      <c r="D80" s="2">
        <f t="shared" si="1"/>
        <v>0</v>
      </c>
    </row>
    <row r="81" spans="1:4" x14ac:dyDescent="0.3">
      <c r="A81">
        <v>35</v>
      </c>
      <c r="B81">
        <v>4</v>
      </c>
      <c r="D81" s="2">
        <f t="shared" si="1"/>
        <v>0</v>
      </c>
    </row>
    <row r="82" spans="1:4" x14ac:dyDescent="0.3">
      <c r="A82">
        <v>36</v>
      </c>
      <c r="B82">
        <v>4</v>
      </c>
      <c r="D82" s="2">
        <f t="shared" si="1"/>
        <v>0</v>
      </c>
    </row>
    <row r="83" spans="1:4" x14ac:dyDescent="0.3">
      <c r="A83">
        <v>37</v>
      </c>
      <c r="B83">
        <v>4</v>
      </c>
      <c r="D83" s="2">
        <f t="shared" si="1"/>
        <v>0</v>
      </c>
    </row>
    <row r="84" spans="1:4" x14ac:dyDescent="0.3">
      <c r="A84">
        <v>38</v>
      </c>
      <c r="B84">
        <v>4</v>
      </c>
      <c r="D84" s="2">
        <f t="shared" si="1"/>
        <v>0</v>
      </c>
    </row>
    <row r="85" spans="1:4" x14ac:dyDescent="0.3">
      <c r="A85">
        <v>39</v>
      </c>
      <c r="B85">
        <v>4</v>
      </c>
      <c r="D85" s="2">
        <f t="shared" si="1"/>
        <v>0</v>
      </c>
    </row>
    <row r="86" spans="1:4" x14ac:dyDescent="0.3">
      <c r="A86">
        <v>40</v>
      </c>
      <c r="B86">
        <v>4</v>
      </c>
      <c r="D86" s="2">
        <f t="shared" si="1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D2BE-5079-4DB2-B02C-9BB2E5EBD659}">
  <dimension ref="A1:E17"/>
  <sheetViews>
    <sheetView workbookViewId="0">
      <selection activeCell="E22" sqref="E22"/>
    </sheetView>
  </sheetViews>
  <sheetFormatPr baseColWidth="10" defaultRowHeight="14.4" x14ac:dyDescent="0.3"/>
  <cols>
    <col min="2" max="2" width="9.109375" style="12" bestFit="1" customWidth="1"/>
    <col min="3" max="3" width="8.21875" bestFit="1" customWidth="1"/>
    <col min="4" max="4" width="9.88671875" customWidth="1"/>
    <col min="5" max="5" width="14.6640625" bestFit="1" customWidth="1"/>
  </cols>
  <sheetData>
    <row r="1" spans="1:5" x14ac:dyDescent="0.3">
      <c r="A1" s="1" t="s">
        <v>106</v>
      </c>
    </row>
    <row r="2" spans="1:5" s="1" customFormat="1" x14ac:dyDescent="0.3">
      <c r="A2" s="18" t="s">
        <v>7</v>
      </c>
      <c r="B2" s="21" t="s">
        <v>26</v>
      </c>
      <c r="C2" s="18" t="s">
        <v>27</v>
      </c>
      <c r="D2" s="18" t="s">
        <v>34</v>
      </c>
      <c r="E2" s="18" t="s">
        <v>36</v>
      </c>
    </row>
    <row r="3" spans="1:5" x14ac:dyDescent="0.3">
      <c r="A3" s="19">
        <v>1</v>
      </c>
      <c r="B3" s="22" t="s">
        <v>31</v>
      </c>
      <c r="C3" s="19">
        <v>1</v>
      </c>
      <c r="D3" s="19"/>
      <c r="E3" s="19">
        <v>3.75</v>
      </c>
    </row>
    <row r="4" spans="1:5" x14ac:dyDescent="0.3">
      <c r="A4" s="19">
        <v>2</v>
      </c>
      <c r="B4" s="22" t="s">
        <v>31</v>
      </c>
      <c r="C4" s="19">
        <v>1</v>
      </c>
      <c r="D4" s="19"/>
      <c r="E4" s="19">
        <v>3.75</v>
      </c>
    </row>
    <row r="5" spans="1:5" x14ac:dyDescent="0.3">
      <c r="A5" s="19">
        <v>3</v>
      </c>
      <c r="B5" s="22" t="s">
        <v>33</v>
      </c>
      <c r="C5" s="19">
        <v>0</v>
      </c>
      <c r="D5" s="19" t="s">
        <v>35</v>
      </c>
      <c r="E5" s="19">
        <v>3.75</v>
      </c>
    </row>
    <row r="6" spans="1:5" x14ac:dyDescent="0.3">
      <c r="A6" s="19">
        <v>4</v>
      </c>
      <c r="B6" s="22" t="s">
        <v>30</v>
      </c>
      <c r="C6" s="19">
        <v>1</v>
      </c>
      <c r="D6" s="19"/>
      <c r="E6" s="19">
        <v>3.75</v>
      </c>
    </row>
    <row r="7" spans="1:5" x14ac:dyDescent="0.3">
      <c r="A7" s="19">
        <v>5</v>
      </c>
      <c r="B7" s="22" t="s">
        <v>30</v>
      </c>
      <c r="C7" s="19">
        <v>1</v>
      </c>
      <c r="D7" s="19"/>
      <c r="E7" s="19">
        <v>3.75</v>
      </c>
    </row>
    <row r="8" spans="1:5" x14ac:dyDescent="0.3">
      <c r="A8" s="19">
        <v>6</v>
      </c>
      <c r="B8" s="22" t="s">
        <v>32</v>
      </c>
      <c r="C8" s="19">
        <v>1</v>
      </c>
      <c r="D8" s="19"/>
      <c r="E8" s="19">
        <v>3.75</v>
      </c>
    </row>
    <row r="9" spans="1:5" x14ac:dyDescent="0.3">
      <c r="A9" s="19">
        <v>7</v>
      </c>
      <c r="B9" s="22" t="s">
        <v>31</v>
      </c>
      <c r="C9" s="19">
        <v>0</v>
      </c>
      <c r="D9" s="19" t="s">
        <v>35</v>
      </c>
      <c r="E9" s="19">
        <v>3.75</v>
      </c>
    </row>
    <row r="10" spans="1:5" x14ac:dyDescent="0.3">
      <c r="A10" s="19">
        <v>8</v>
      </c>
      <c r="B10" s="22" t="s">
        <v>32</v>
      </c>
      <c r="C10" s="19">
        <v>1</v>
      </c>
      <c r="D10" s="19"/>
      <c r="E10" s="19">
        <v>3.75</v>
      </c>
    </row>
    <row r="11" spans="1:5" x14ac:dyDescent="0.3">
      <c r="A11" s="19">
        <v>9</v>
      </c>
      <c r="B11" s="22" t="s">
        <v>31</v>
      </c>
      <c r="C11" s="19">
        <v>1</v>
      </c>
      <c r="D11" s="19"/>
      <c r="E11" s="19">
        <v>3.75</v>
      </c>
    </row>
    <row r="12" spans="1:5" x14ac:dyDescent="0.3">
      <c r="A12" s="19">
        <v>10</v>
      </c>
      <c r="B12" s="22" t="s">
        <v>31</v>
      </c>
      <c r="C12" s="19">
        <v>0</v>
      </c>
      <c r="D12" s="19" t="s">
        <v>35</v>
      </c>
      <c r="E12" s="19">
        <v>3.75</v>
      </c>
    </row>
    <row r="14" spans="1:5" x14ac:dyDescent="0.3">
      <c r="A14" t="s">
        <v>37</v>
      </c>
    </row>
    <row r="15" spans="1:5" x14ac:dyDescent="0.3">
      <c r="A15" t="s">
        <v>114</v>
      </c>
    </row>
    <row r="16" spans="1:5" x14ac:dyDescent="0.3">
      <c r="A16" t="s">
        <v>38</v>
      </c>
    </row>
    <row r="17" spans="1:1" x14ac:dyDescent="0.3">
      <c r="A17" t="s">
        <v>115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612DD-A0B6-4A21-9751-4FD5E4085B51}">
  <dimension ref="A1:H38"/>
  <sheetViews>
    <sheetView topLeftCell="F1" workbookViewId="0">
      <selection activeCell="E23" sqref="E23"/>
    </sheetView>
  </sheetViews>
  <sheetFormatPr baseColWidth="10" defaultRowHeight="14.4" x14ac:dyDescent="0.3"/>
  <cols>
    <col min="1" max="1" width="21.21875" bestFit="1" customWidth="1"/>
    <col min="2" max="2" width="14.5546875" bestFit="1" customWidth="1"/>
    <col min="3" max="3" width="15" bestFit="1" customWidth="1"/>
    <col min="4" max="4" width="13.5546875" bestFit="1" customWidth="1"/>
    <col min="6" max="6" width="15" bestFit="1" customWidth="1"/>
    <col min="7" max="7" width="15.21875" bestFit="1" customWidth="1"/>
    <col min="8" max="8" width="14.21875" bestFit="1" customWidth="1"/>
  </cols>
  <sheetData>
    <row r="1" spans="1:8" x14ac:dyDescent="0.3">
      <c r="A1" s="1" t="s">
        <v>17</v>
      </c>
    </row>
    <row r="2" spans="1:8" x14ac:dyDescent="0.3">
      <c r="A2" s="23" t="s">
        <v>18</v>
      </c>
      <c r="B2" s="23" t="s">
        <v>20</v>
      </c>
      <c r="C2" s="23" t="s">
        <v>24</v>
      </c>
      <c r="D2" s="23" t="s">
        <v>25</v>
      </c>
      <c r="E2" s="23" t="s">
        <v>19</v>
      </c>
      <c r="F2" s="23" t="s">
        <v>24</v>
      </c>
      <c r="G2" s="23" t="s">
        <v>21</v>
      </c>
    </row>
    <row r="3" spans="1:8" x14ac:dyDescent="0.3">
      <c r="A3" s="20">
        <v>1</v>
      </c>
      <c r="B3" s="20">
        <v>32.467400000000005</v>
      </c>
      <c r="C3" s="20">
        <f t="shared" ref="C3:C16" si="0">B3-$B$37</f>
        <v>32.467400000000005</v>
      </c>
      <c r="D3" s="20">
        <v>0.46740000000000492</v>
      </c>
      <c r="E3" s="20">
        <v>10.329199999999998</v>
      </c>
      <c r="F3" s="20">
        <f t="shared" ref="F3:F16" si="1">E3-$E$37</f>
        <v>10.329199999999998</v>
      </c>
      <c r="G3" s="20">
        <v>1.6228799999999999</v>
      </c>
      <c r="H3" s="2"/>
    </row>
    <row r="4" spans="1:8" x14ac:dyDescent="0.3">
      <c r="A4" s="20">
        <v>2</v>
      </c>
      <c r="B4" s="20">
        <v>32.173400000000001</v>
      </c>
      <c r="C4" s="20">
        <f t="shared" si="0"/>
        <v>32.173400000000001</v>
      </c>
      <c r="D4" s="20">
        <v>0.17340000000000089</v>
      </c>
      <c r="E4" s="20">
        <v>10.7212</v>
      </c>
      <c r="F4" s="20">
        <f t="shared" si="1"/>
        <v>10.7212</v>
      </c>
      <c r="G4" s="20">
        <v>1.3915999999999999</v>
      </c>
      <c r="H4" s="2"/>
    </row>
    <row r="5" spans="1:8" x14ac:dyDescent="0.3">
      <c r="A5" s="20">
        <v>3</v>
      </c>
      <c r="B5" s="20">
        <v>31.928399999999996</v>
      </c>
      <c r="C5" s="20">
        <f t="shared" si="0"/>
        <v>31.928399999999996</v>
      </c>
      <c r="D5" s="20">
        <v>-7.1600000000003661E-2</v>
      </c>
      <c r="E5" s="20">
        <v>10.6624</v>
      </c>
      <c r="F5" s="20">
        <f t="shared" si="1"/>
        <v>10.6624</v>
      </c>
      <c r="G5" s="20">
        <v>2.3029999999999999</v>
      </c>
      <c r="H5" s="2"/>
    </row>
    <row r="6" spans="1:8" x14ac:dyDescent="0.3">
      <c r="A6" s="20">
        <v>4</v>
      </c>
      <c r="B6" s="20">
        <v>32.045999999999999</v>
      </c>
      <c r="C6" s="20">
        <f t="shared" si="0"/>
        <v>32.045999999999999</v>
      </c>
      <c r="D6" s="20">
        <v>4.5999999999999375E-2</v>
      </c>
      <c r="E6" s="20">
        <v>10.29</v>
      </c>
      <c r="F6" s="20">
        <f t="shared" si="1"/>
        <v>10.29</v>
      </c>
      <c r="G6" s="20">
        <v>0.44982</v>
      </c>
      <c r="H6" s="2"/>
    </row>
    <row r="7" spans="1:8" x14ac:dyDescent="0.3">
      <c r="A7" s="20">
        <v>5</v>
      </c>
      <c r="B7" s="20">
        <v>32.202799999999996</v>
      </c>
      <c r="C7" s="20">
        <f t="shared" si="0"/>
        <v>32.202799999999996</v>
      </c>
      <c r="D7" s="20">
        <v>0.20279999999999632</v>
      </c>
      <c r="E7" s="20">
        <v>10.407599999999999</v>
      </c>
      <c r="F7" s="20">
        <f t="shared" si="1"/>
        <v>10.407599999999999</v>
      </c>
      <c r="G7" s="20">
        <v>1.6856</v>
      </c>
      <c r="H7" s="2"/>
    </row>
    <row r="8" spans="1:8" x14ac:dyDescent="0.3">
      <c r="A8" s="20">
        <v>6</v>
      </c>
      <c r="B8" s="20">
        <v>31.683399999999999</v>
      </c>
      <c r="C8" s="20">
        <f t="shared" si="0"/>
        <v>31.683399999999999</v>
      </c>
      <c r="D8" s="20">
        <v>-0.3166000000000011</v>
      </c>
      <c r="E8" s="20">
        <v>9.8391999999999982</v>
      </c>
      <c r="F8" s="20">
        <f t="shared" si="1"/>
        <v>9.8391999999999982</v>
      </c>
      <c r="G8" s="20">
        <v>1.1367999999999998</v>
      </c>
      <c r="H8" s="2"/>
    </row>
    <row r="9" spans="1:8" x14ac:dyDescent="0.3">
      <c r="A9" s="20">
        <v>7</v>
      </c>
      <c r="B9" s="20">
        <v>32.565399999999997</v>
      </c>
      <c r="C9" s="20">
        <f t="shared" si="0"/>
        <v>32.565399999999997</v>
      </c>
      <c r="D9" s="20">
        <v>0.56539999999999679</v>
      </c>
      <c r="E9" s="20">
        <v>10.5252</v>
      </c>
      <c r="F9" s="20">
        <f t="shared" si="1"/>
        <v>10.5252</v>
      </c>
      <c r="G9" s="20">
        <v>0.98980000000000001</v>
      </c>
      <c r="H9" s="2"/>
    </row>
    <row r="10" spans="1:8" x14ac:dyDescent="0.3">
      <c r="A10" s="20">
        <v>8</v>
      </c>
      <c r="B10" s="20">
        <v>31.8108</v>
      </c>
      <c r="C10" s="20">
        <f t="shared" si="0"/>
        <v>31.8108</v>
      </c>
      <c r="D10" s="20">
        <v>-0.18919999999999959</v>
      </c>
      <c r="E10" s="20">
        <v>9.9372000000000007</v>
      </c>
      <c r="F10" s="20">
        <f t="shared" si="1"/>
        <v>9.9372000000000007</v>
      </c>
      <c r="G10" s="20">
        <v>0.92119999999999991</v>
      </c>
      <c r="H10" s="2"/>
    </row>
    <row r="11" spans="1:8" x14ac:dyDescent="0.3">
      <c r="A11" s="20">
        <v>9</v>
      </c>
      <c r="B11" s="20">
        <v>31.458000000000002</v>
      </c>
      <c r="C11" s="20">
        <f t="shared" si="0"/>
        <v>31.458000000000002</v>
      </c>
      <c r="D11" s="20">
        <v>-0.54199999999999804</v>
      </c>
      <c r="E11" s="20">
        <v>9.9862000000000002</v>
      </c>
      <c r="F11" s="20">
        <f t="shared" si="1"/>
        <v>9.9862000000000002</v>
      </c>
      <c r="G11" s="20">
        <v>0.40179999999999999</v>
      </c>
      <c r="H11" s="2"/>
    </row>
    <row r="12" spans="1:8" x14ac:dyDescent="0.3">
      <c r="A12" s="20">
        <v>10</v>
      </c>
      <c r="B12" s="20">
        <v>31.840200000000003</v>
      </c>
      <c r="C12" s="20">
        <f t="shared" si="0"/>
        <v>31.840200000000003</v>
      </c>
      <c r="D12" s="20">
        <v>-0.15979999999999706</v>
      </c>
      <c r="E12" s="20">
        <v>10.211599999999999</v>
      </c>
      <c r="F12" s="20">
        <f t="shared" si="1"/>
        <v>10.211599999999999</v>
      </c>
      <c r="G12" s="20">
        <v>1.2054</v>
      </c>
      <c r="H12" s="2"/>
    </row>
    <row r="13" spans="1:8" x14ac:dyDescent="0.3">
      <c r="A13" s="20">
        <v>11</v>
      </c>
      <c r="B13" s="20">
        <v>32.016600000000004</v>
      </c>
      <c r="C13" s="20">
        <f t="shared" si="0"/>
        <v>32.016600000000004</v>
      </c>
      <c r="D13" s="20">
        <v>1.6600000000003945E-2</v>
      </c>
      <c r="E13" s="20">
        <v>10.152799999999999</v>
      </c>
      <c r="F13" s="20">
        <f t="shared" si="1"/>
        <v>10.152799999999999</v>
      </c>
      <c r="G13" s="20">
        <v>0.80359999999999998</v>
      </c>
      <c r="H13" s="2"/>
    </row>
    <row r="14" spans="1:8" x14ac:dyDescent="0.3">
      <c r="A14" s="20">
        <v>12</v>
      </c>
      <c r="B14" s="20">
        <v>32.2714</v>
      </c>
      <c r="C14" s="20">
        <f t="shared" si="0"/>
        <v>32.2714</v>
      </c>
      <c r="D14" s="20">
        <v>0.27139999999999986</v>
      </c>
      <c r="E14" s="20">
        <v>9.9959999999999987</v>
      </c>
      <c r="F14" s="20">
        <f t="shared" si="1"/>
        <v>9.9959999999999987</v>
      </c>
      <c r="G14" s="20">
        <v>1.1172</v>
      </c>
      <c r="H14" s="2"/>
    </row>
    <row r="15" spans="1:8" x14ac:dyDescent="0.3">
      <c r="A15" s="20">
        <v>13</v>
      </c>
      <c r="B15" s="20">
        <v>32.065599999999996</v>
      </c>
      <c r="C15" s="20">
        <f t="shared" si="0"/>
        <v>32.065599999999996</v>
      </c>
      <c r="D15" s="20">
        <v>6.5599999999996328E-2</v>
      </c>
      <c r="E15" s="20">
        <v>10.368399999999999</v>
      </c>
      <c r="F15" s="20">
        <f t="shared" si="1"/>
        <v>10.368399999999999</v>
      </c>
      <c r="G15" s="20">
        <v>0.99960000000000004</v>
      </c>
      <c r="H15" s="2"/>
    </row>
    <row r="16" spans="1:8" x14ac:dyDescent="0.3">
      <c r="A16" s="20">
        <v>14</v>
      </c>
      <c r="B16" s="20">
        <v>32.2714</v>
      </c>
      <c r="C16" s="20">
        <f t="shared" si="0"/>
        <v>32.2714</v>
      </c>
      <c r="D16" s="20">
        <v>0.27139999999999986</v>
      </c>
      <c r="E16" s="20">
        <v>10.0548</v>
      </c>
      <c r="F16" s="20">
        <f t="shared" si="1"/>
        <v>10.0548</v>
      </c>
      <c r="G16" s="20">
        <v>0.7056</v>
      </c>
      <c r="H16" s="2"/>
    </row>
    <row r="17" spans="1:8" x14ac:dyDescent="0.3">
      <c r="A17" s="23" t="s">
        <v>23</v>
      </c>
      <c r="B17" s="23">
        <v>0.29007378371717746</v>
      </c>
      <c r="C17" s="23">
        <f t="shared" ref="C17" si="2">_xlfn.STDEV.P(C3:C16)</f>
        <v>0.29007378371717746</v>
      </c>
      <c r="D17" s="23">
        <v>0.2900737837171774</v>
      </c>
      <c r="E17" s="23">
        <v>0.26244399402539209</v>
      </c>
      <c r="F17" s="23">
        <f>_xlfn.STDEV.P(F3:F16)</f>
        <v>0.26244399402539209</v>
      </c>
      <c r="G17" s="23">
        <v>0.48998406474088496</v>
      </c>
      <c r="H17" s="2"/>
    </row>
    <row r="18" spans="1:8" x14ac:dyDescent="0.3">
      <c r="A18" s="23" t="s">
        <v>22</v>
      </c>
      <c r="B18" s="23">
        <v>32.057200000000002</v>
      </c>
      <c r="C18" s="23"/>
      <c r="D18" s="23"/>
      <c r="E18" s="23">
        <v>10.248699999999999</v>
      </c>
      <c r="F18" s="23"/>
      <c r="G18" s="23">
        <v>1.1238500000000002</v>
      </c>
      <c r="H18" s="2"/>
    </row>
    <row r="19" spans="1:8" x14ac:dyDescent="0.3">
      <c r="A19" s="23" t="s">
        <v>116</v>
      </c>
      <c r="B19" s="23">
        <v>32</v>
      </c>
      <c r="C19" s="23"/>
      <c r="D19" s="23"/>
      <c r="E19" s="23">
        <v>10</v>
      </c>
      <c r="F19" s="23"/>
      <c r="G19" s="23"/>
      <c r="H19" s="2"/>
    </row>
    <row r="20" spans="1:8" x14ac:dyDescent="0.3">
      <c r="C20" s="2"/>
    </row>
    <row r="21" spans="1:8" x14ac:dyDescent="0.3">
      <c r="A21" s="24"/>
      <c r="B21" s="24"/>
      <c r="C21" s="24"/>
      <c r="D21" s="24"/>
      <c r="E21" s="24"/>
      <c r="F21" s="24"/>
      <c r="G21" s="24"/>
    </row>
    <row r="22" spans="1:8" x14ac:dyDescent="0.3">
      <c r="A22" s="25"/>
      <c r="B22" s="26"/>
      <c r="C22" s="26"/>
      <c r="D22" s="26"/>
      <c r="E22" s="26"/>
      <c r="F22" s="26"/>
      <c r="G22" s="26"/>
    </row>
    <row r="23" spans="1:8" x14ac:dyDescent="0.3">
      <c r="A23" s="25"/>
      <c r="B23" s="26"/>
      <c r="C23" s="26"/>
      <c r="D23" s="26"/>
      <c r="E23" s="26"/>
      <c r="F23" s="26"/>
      <c r="G23" s="26"/>
    </row>
    <row r="24" spans="1:8" x14ac:dyDescent="0.3">
      <c r="A24" s="25"/>
      <c r="B24" s="26"/>
      <c r="C24" s="26"/>
      <c r="D24" s="26"/>
      <c r="E24" s="26"/>
      <c r="F24" s="26"/>
      <c r="G24" s="26"/>
    </row>
    <row r="25" spans="1:8" x14ac:dyDescent="0.3">
      <c r="A25" s="25"/>
      <c r="B25" s="26"/>
      <c r="C25" s="26"/>
      <c r="D25" s="26"/>
      <c r="E25" s="26"/>
      <c r="F25" s="26"/>
      <c r="G25" s="26"/>
    </row>
    <row r="26" spans="1:8" x14ac:dyDescent="0.3">
      <c r="A26" s="25"/>
      <c r="B26" s="26"/>
      <c r="C26" s="26"/>
      <c r="D26" s="26"/>
      <c r="E26" s="26"/>
      <c r="F26" s="26"/>
      <c r="G26" s="26"/>
    </row>
    <row r="27" spans="1:8" x14ac:dyDescent="0.3">
      <c r="A27" s="25"/>
      <c r="B27" s="26"/>
      <c r="C27" s="26"/>
      <c r="D27" s="26"/>
      <c r="E27" s="26"/>
      <c r="F27" s="26"/>
      <c r="G27" s="26"/>
    </row>
    <row r="28" spans="1:8" x14ac:dyDescent="0.3">
      <c r="A28" s="25"/>
      <c r="B28" s="26"/>
      <c r="C28" s="26"/>
      <c r="D28" s="26"/>
      <c r="E28" s="26"/>
      <c r="F28" s="26"/>
      <c r="G28" s="26"/>
    </row>
    <row r="29" spans="1:8" x14ac:dyDescent="0.3">
      <c r="A29" s="25"/>
      <c r="B29" s="26"/>
      <c r="C29" s="26"/>
      <c r="D29" s="26"/>
      <c r="E29" s="26"/>
      <c r="F29" s="26"/>
      <c r="G29" s="26"/>
    </row>
    <row r="30" spans="1:8" x14ac:dyDescent="0.3">
      <c r="A30" s="25"/>
      <c r="B30" s="26"/>
      <c r="C30" s="26"/>
      <c r="D30" s="26"/>
      <c r="E30" s="26"/>
      <c r="F30" s="26"/>
      <c r="G30" s="26"/>
    </row>
    <row r="31" spans="1:8" x14ac:dyDescent="0.3">
      <c r="A31" s="25"/>
      <c r="B31" s="26"/>
      <c r="C31" s="26"/>
      <c r="D31" s="26"/>
      <c r="E31" s="26"/>
      <c r="F31" s="26"/>
      <c r="G31" s="26"/>
    </row>
    <row r="32" spans="1:8" x14ac:dyDescent="0.3">
      <c r="A32" s="25"/>
      <c r="B32" s="26"/>
      <c r="C32" s="26"/>
      <c r="D32" s="26"/>
      <c r="E32" s="26"/>
      <c r="F32" s="26"/>
      <c r="G32" s="26"/>
    </row>
    <row r="33" spans="1:7" x14ac:dyDescent="0.3">
      <c r="A33" s="25"/>
      <c r="B33" s="26"/>
      <c r="C33" s="26"/>
      <c r="D33" s="26"/>
      <c r="E33" s="26"/>
      <c r="F33" s="26"/>
      <c r="G33" s="26"/>
    </row>
    <row r="34" spans="1:7" x14ac:dyDescent="0.3">
      <c r="A34" s="25"/>
      <c r="B34" s="26"/>
      <c r="C34" s="26"/>
      <c r="D34" s="26"/>
      <c r="E34" s="26"/>
      <c r="F34" s="26"/>
      <c r="G34" s="26"/>
    </row>
    <row r="35" spans="1:7" x14ac:dyDescent="0.3">
      <c r="A35" s="25"/>
      <c r="B35" s="26"/>
      <c r="C35" s="26"/>
      <c r="D35" s="26"/>
      <c r="E35" s="26"/>
      <c r="F35" s="26"/>
      <c r="G35" s="26"/>
    </row>
    <row r="36" spans="1:7" x14ac:dyDescent="0.3">
      <c r="A36" s="24"/>
      <c r="B36" s="24"/>
      <c r="C36" s="24"/>
      <c r="D36" s="24"/>
      <c r="E36" s="24"/>
      <c r="F36" s="24"/>
      <c r="G36" s="24"/>
    </row>
    <row r="37" spans="1:7" x14ac:dyDescent="0.3">
      <c r="A37" s="24"/>
      <c r="B37" s="24"/>
      <c r="C37" s="24"/>
      <c r="D37" s="27"/>
      <c r="E37" s="24"/>
      <c r="F37" s="24"/>
      <c r="G37" s="24"/>
    </row>
    <row r="38" spans="1:7" x14ac:dyDescent="0.3">
      <c r="A38" s="27"/>
      <c r="B38" s="27"/>
      <c r="C38" s="27"/>
      <c r="D38" s="27"/>
      <c r="E38" s="27"/>
      <c r="F38" s="27"/>
      <c r="G38" s="2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EC1C8-5D2F-4210-ABC7-9B39A6D18853}">
  <dimension ref="A1:D23"/>
  <sheetViews>
    <sheetView workbookViewId="0">
      <selection activeCell="F28" sqref="F28"/>
    </sheetView>
  </sheetViews>
  <sheetFormatPr baseColWidth="10" defaultRowHeight="14.4" x14ac:dyDescent="0.3"/>
  <cols>
    <col min="1" max="1" width="5.33203125" customWidth="1"/>
    <col min="2" max="2" width="14.6640625" bestFit="1" customWidth="1"/>
  </cols>
  <sheetData>
    <row r="1" spans="1:4" s="1" customFormat="1" x14ac:dyDescent="0.3">
      <c r="A1" s="1" t="s">
        <v>117</v>
      </c>
    </row>
    <row r="2" spans="1:4" s="1" customFormat="1" x14ac:dyDescent="0.3">
      <c r="A2" s="18" t="s">
        <v>98</v>
      </c>
      <c r="B2" s="18" t="s">
        <v>99</v>
      </c>
      <c r="C2" s="18" t="s">
        <v>39</v>
      </c>
      <c r="D2" s="18" t="s">
        <v>58</v>
      </c>
    </row>
    <row r="3" spans="1:4" x14ac:dyDescent="0.3">
      <c r="A3" s="19">
        <v>1</v>
      </c>
      <c r="B3" s="19">
        <v>10</v>
      </c>
      <c r="C3" s="19">
        <v>0</v>
      </c>
      <c r="D3" s="19" t="s">
        <v>100</v>
      </c>
    </row>
    <row r="4" spans="1:4" x14ac:dyDescent="0.3">
      <c r="A4" s="19">
        <v>2</v>
      </c>
      <c r="B4" s="19">
        <v>15</v>
      </c>
      <c r="C4" s="19">
        <v>0</v>
      </c>
      <c r="D4" s="19" t="s">
        <v>100</v>
      </c>
    </row>
    <row r="5" spans="1:4" x14ac:dyDescent="0.3">
      <c r="A5" s="19">
        <v>3</v>
      </c>
      <c r="B5" s="19">
        <v>20</v>
      </c>
      <c r="C5" s="19">
        <v>0</v>
      </c>
      <c r="D5" s="19" t="s">
        <v>100</v>
      </c>
    </row>
    <row r="6" spans="1:4" x14ac:dyDescent="0.3">
      <c r="A6" s="19">
        <v>4</v>
      </c>
      <c r="B6" s="19">
        <v>25</v>
      </c>
      <c r="C6" s="19">
        <v>0</v>
      </c>
      <c r="D6" s="19" t="s">
        <v>100</v>
      </c>
    </row>
    <row r="7" spans="1:4" x14ac:dyDescent="0.3">
      <c r="A7" s="19">
        <v>5</v>
      </c>
      <c r="B7" s="19">
        <v>30</v>
      </c>
      <c r="C7" s="19">
        <v>0</v>
      </c>
      <c r="D7" s="19" t="s">
        <v>100</v>
      </c>
    </row>
    <row r="8" spans="1:4" x14ac:dyDescent="0.3">
      <c r="A8" s="19">
        <v>6</v>
      </c>
      <c r="B8" s="19">
        <v>35</v>
      </c>
      <c r="C8" s="19">
        <v>1</v>
      </c>
      <c r="D8" s="19"/>
    </row>
    <row r="9" spans="1:4" x14ac:dyDescent="0.3">
      <c r="A9" s="19">
        <v>7</v>
      </c>
      <c r="B9" s="19">
        <v>35</v>
      </c>
      <c r="C9" s="19">
        <v>0</v>
      </c>
      <c r="D9" s="19" t="s">
        <v>100</v>
      </c>
    </row>
    <row r="10" spans="1:4" x14ac:dyDescent="0.3">
      <c r="A10" s="19">
        <v>8</v>
      </c>
      <c r="B10" s="19">
        <v>35</v>
      </c>
      <c r="C10" s="19">
        <v>1</v>
      </c>
      <c r="D10" s="19"/>
    </row>
    <row r="11" spans="1:4" x14ac:dyDescent="0.3">
      <c r="A11" s="19">
        <v>9</v>
      </c>
      <c r="B11" s="19">
        <v>35</v>
      </c>
      <c r="C11" s="19">
        <v>0</v>
      </c>
      <c r="D11" s="19" t="s">
        <v>100</v>
      </c>
    </row>
    <row r="12" spans="1:4" x14ac:dyDescent="0.3">
      <c r="A12" s="19">
        <v>10</v>
      </c>
      <c r="B12" s="19">
        <v>37.5</v>
      </c>
      <c r="C12" s="19">
        <v>0</v>
      </c>
      <c r="D12" s="19" t="s">
        <v>101</v>
      </c>
    </row>
    <row r="13" spans="1:4" x14ac:dyDescent="0.3">
      <c r="A13" s="19">
        <v>11</v>
      </c>
      <c r="B13" s="19">
        <v>37.5</v>
      </c>
      <c r="C13" s="19">
        <v>1</v>
      </c>
      <c r="D13" s="19"/>
    </row>
    <row r="14" spans="1:4" x14ac:dyDescent="0.3">
      <c r="A14" s="19">
        <v>12</v>
      </c>
      <c r="B14" s="19">
        <v>37.5</v>
      </c>
      <c r="C14" s="19">
        <v>1</v>
      </c>
      <c r="D14" s="19"/>
    </row>
    <row r="15" spans="1:4" x14ac:dyDescent="0.3">
      <c r="A15" s="19">
        <v>13</v>
      </c>
      <c r="B15" s="19">
        <v>37.5</v>
      </c>
      <c r="C15" s="19">
        <v>1</v>
      </c>
      <c r="D15" s="19"/>
    </row>
    <row r="16" spans="1:4" x14ac:dyDescent="0.3">
      <c r="A16" s="19">
        <v>14</v>
      </c>
      <c r="B16" s="19">
        <v>40</v>
      </c>
      <c r="C16" s="19">
        <v>0</v>
      </c>
      <c r="D16" s="19" t="s">
        <v>101</v>
      </c>
    </row>
    <row r="17" spans="1:4" x14ac:dyDescent="0.3">
      <c r="A17" s="19">
        <v>15</v>
      </c>
      <c r="B17" s="19">
        <v>40</v>
      </c>
      <c r="C17" s="19">
        <v>1</v>
      </c>
      <c r="D17" s="19"/>
    </row>
    <row r="18" spans="1:4" x14ac:dyDescent="0.3">
      <c r="A18" s="19">
        <v>16</v>
      </c>
      <c r="B18" s="19">
        <v>40</v>
      </c>
      <c r="C18" s="19">
        <v>1</v>
      </c>
      <c r="D18" s="19"/>
    </row>
    <row r="19" spans="1:4" x14ac:dyDescent="0.3">
      <c r="A19" s="19">
        <v>17</v>
      </c>
      <c r="B19" s="19">
        <v>40</v>
      </c>
      <c r="C19" s="19">
        <v>0</v>
      </c>
      <c r="D19" s="19" t="s">
        <v>101</v>
      </c>
    </row>
    <row r="20" spans="1:4" x14ac:dyDescent="0.3">
      <c r="A20" s="19">
        <v>18</v>
      </c>
      <c r="B20" s="19">
        <v>42.5</v>
      </c>
      <c r="C20" s="19">
        <v>0</v>
      </c>
      <c r="D20" s="19" t="s">
        <v>101</v>
      </c>
    </row>
    <row r="21" spans="1:4" x14ac:dyDescent="0.3">
      <c r="A21" s="19">
        <v>19</v>
      </c>
      <c r="B21" s="19">
        <v>42.5</v>
      </c>
      <c r="C21" s="19">
        <v>1</v>
      </c>
      <c r="D21" s="19"/>
    </row>
    <row r="22" spans="1:4" x14ac:dyDescent="0.3">
      <c r="A22" s="19">
        <v>20</v>
      </c>
      <c r="B22" s="19">
        <v>42.5</v>
      </c>
      <c r="C22" s="19">
        <v>0</v>
      </c>
      <c r="D22" s="19" t="s">
        <v>101</v>
      </c>
    </row>
    <row r="23" spans="1:4" x14ac:dyDescent="0.3">
      <c r="A23" s="19">
        <v>21</v>
      </c>
      <c r="B23" s="19">
        <v>42.5</v>
      </c>
      <c r="C23" s="19">
        <v>0</v>
      </c>
      <c r="D23" s="19" t="s">
        <v>101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1570B-4DCB-4D7F-9F26-A58A053E3FAA}">
  <dimension ref="A1:F10"/>
  <sheetViews>
    <sheetView workbookViewId="0">
      <selection activeCell="C21" sqref="C21"/>
    </sheetView>
  </sheetViews>
  <sheetFormatPr baseColWidth="10" defaultRowHeight="14.4" x14ac:dyDescent="0.3"/>
  <cols>
    <col min="1" max="1" width="12.109375" bestFit="1" customWidth="1"/>
    <col min="2" max="2" width="13.88671875" bestFit="1" customWidth="1"/>
    <col min="3" max="3" width="13.33203125" bestFit="1" customWidth="1"/>
    <col min="4" max="4" width="13.21875" bestFit="1" customWidth="1"/>
    <col min="5" max="5" width="13" bestFit="1" customWidth="1"/>
    <col min="6" max="6" width="15" bestFit="1" customWidth="1"/>
    <col min="7" max="7" width="13.6640625" customWidth="1"/>
  </cols>
  <sheetData>
    <row r="1" spans="1:6" x14ac:dyDescent="0.3">
      <c r="A1" s="1" t="s">
        <v>41</v>
      </c>
    </row>
    <row r="2" spans="1:6" x14ac:dyDescent="0.3">
      <c r="A2" s="18" t="s">
        <v>7</v>
      </c>
      <c r="B2" s="18" t="s">
        <v>42</v>
      </c>
      <c r="C2" s="18" t="s">
        <v>43</v>
      </c>
      <c r="D2" s="18" t="s">
        <v>46</v>
      </c>
      <c r="E2" s="18" t="s">
        <v>47</v>
      </c>
      <c r="F2" s="18" t="s">
        <v>48</v>
      </c>
    </row>
    <row r="3" spans="1:6" x14ac:dyDescent="0.3">
      <c r="A3" s="19">
        <v>1</v>
      </c>
      <c r="B3" s="19">
        <v>1</v>
      </c>
      <c r="C3" s="19">
        <v>5</v>
      </c>
      <c r="D3" s="19">
        <f>B3*$B$10+C3*$C$10+$D$10</f>
        <v>10.4</v>
      </c>
      <c r="E3" s="28">
        <f>D3*9.81</f>
        <v>102.02400000000002</v>
      </c>
      <c r="F3" s="19">
        <v>4</v>
      </c>
    </row>
    <row r="4" spans="1:6" x14ac:dyDescent="0.3">
      <c r="A4" s="19">
        <v>2</v>
      </c>
      <c r="B4" s="19">
        <v>2</v>
      </c>
      <c r="C4" s="19">
        <v>4</v>
      </c>
      <c r="D4" s="19">
        <f>B4*$B$10+C4*$C$10+$D$10</f>
        <v>9</v>
      </c>
      <c r="E4" s="28">
        <f t="shared" ref="E4:E7" si="0">D4*9.81</f>
        <v>88.29</v>
      </c>
      <c r="F4" s="19">
        <v>3.5</v>
      </c>
    </row>
    <row r="5" spans="1:6" x14ac:dyDescent="0.3">
      <c r="A5" s="19">
        <v>3</v>
      </c>
      <c r="B5" s="19">
        <v>0</v>
      </c>
      <c r="C5" s="19">
        <v>5</v>
      </c>
      <c r="D5" s="19">
        <f>B5*$B$10+C5*$C$10+$D$10</f>
        <v>9.85</v>
      </c>
      <c r="E5" s="28">
        <f t="shared" si="0"/>
        <v>96.628500000000003</v>
      </c>
      <c r="F5" s="19">
        <v>4</v>
      </c>
    </row>
    <row r="6" spans="1:6" x14ac:dyDescent="0.3">
      <c r="A6" s="19">
        <v>4</v>
      </c>
      <c r="B6" s="19">
        <v>1</v>
      </c>
      <c r="C6" s="19">
        <v>4</v>
      </c>
      <c r="D6" s="19">
        <f>B6*$B$10+C6*$C$10+$D$10</f>
        <v>8.4499999999999993</v>
      </c>
      <c r="E6" s="28">
        <f t="shared" si="0"/>
        <v>82.894499999999994</v>
      </c>
      <c r="F6" s="19">
        <v>3.5</v>
      </c>
    </row>
    <row r="7" spans="1:6" x14ac:dyDescent="0.3">
      <c r="A7" s="19">
        <v>5</v>
      </c>
      <c r="B7" s="19">
        <v>1</v>
      </c>
      <c r="C7" s="19">
        <v>5</v>
      </c>
      <c r="D7" s="19">
        <f>B7*$B$10+C7*$C$10+$D$10</f>
        <v>10.4</v>
      </c>
      <c r="E7" s="28">
        <f t="shared" si="0"/>
        <v>102.02400000000002</v>
      </c>
      <c r="F7" s="19">
        <v>4.5</v>
      </c>
    </row>
    <row r="9" spans="1:6" x14ac:dyDescent="0.3">
      <c r="A9" s="18" t="s">
        <v>49</v>
      </c>
      <c r="B9" s="18" t="s">
        <v>45</v>
      </c>
      <c r="C9" s="18" t="s">
        <v>44</v>
      </c>
      <c r="D9" s="18" t="s">
        <v>118</v>
      </c>
    </row>
    <row r="10" spans="1:6" x14ac:dyDescent="0.3">
      <c r="A10" s="19"/>
      <c r="B10" s="19">
        <v>0.55000000000000004</v>
      </c>
      <c r="C10" s="19">
        <v>1.95</v>
      </c>
      <c r="D10" s="19">
        <v>0.1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44856-E3B1-42E8-80F6-9E89F9DA92C1}">
  <dimension ref="A1:G36"/>
  <sheetViews>
    <sheetView workbookViewId="0">
      <selection activeCell="M22" sqref="M22"/>
    </sheetView>
  </sheetViews>
  <sheetFormatPr baseColWidth="10" defaultRowHeight="14.4" x14ac:dyDescent="0.3"/>
  <cols>
    <col min="1" max="1" width="23.5546875" bestFit="1" customWidth="1"/>
  </cols>
  <sheetData>
    <row r="1" spans="1:7" x14ac:dyDescent="0.3">
      <c r="A1" s="1" t="s">
        <v>119</v>
      </c>
    </row>
    <row r="2" spans="1:7" x14ac:dyDescent="0.3">
      <c r="A2" s="1" t="s">
        <v>66</v>
      </c>
      <c r="B2" s="1" t="s">
        <v>72</v>
      </c>
      <c r="C2" s="1"/>
      <c r="D2" s="1" t="s">
        <v>71</v>
      </c>
      <c r="E2" s="1" t="s">
        <v>67</v>
      </c>
      <c r="G2" s="1" t="s">
        <v>68</v>
      </c>
    </row>
    <row r="3" spans="1:7" x14ac:dyDescent="0.3">
      <c r="A3" t="s">
        <v>63</v>
      </c>
      <c r="B3">
        <v>270</v>
      </c>
      <c r="C3" t="s">
        <v>61</v>
      </c>
      <c r="D3">
        <v>1</v>
      </c>
      <c r="E3">
        <f>D3*B3</f>
        <v>270</v>
      </c>
      <c r="F3" t="s">
        <v>61</v>
      </c>
      <c r="G3" s="6" t="s">
        <v>65</v>
      </c>
    </row>
    <row r="4" spans="1:7" x14ac:dyDescent="0.3">
      <c r="A4" t="s">
        <v>64</v>
      </c>
      <c r="B4">
        <v>176</v>
      </c>
      <c r="C4" t="s">
        <v>61</v>
      </c>
      <c r="D4">
        <v>1</v>
      </c>
      <c r="E4">
        <f t="shared" ref="E4:E11" si="0">D4*B4</f>
        <v>176</v>
      </c>
      <c r="F4" t="s">
        <v>61</v>
      </c>
      <c r="G4" s="6" t="s">
        <v>62</v>
      </c>
    </row>
    <row r="5" spans="1:7" x14ac:dyDescent="0.3">
      <c r="A5" t="s">
        <v>70</v>
      </c>
      <c r="B5">
        <v>97</v>
      </c>
      <c r="C5" t="s">
        <v>61</v>
      </c>
      <c r="D5">
        <v>1</v>
      </c>
      <c r="E5">
        <f t="shared" si="0"/>
        <v>97</v>
      </c>
      <c r="F5" t="s">
        <v>61</v>
      </c>
      <c r="G5" s="6" t="s">
        <v>69</v>
      </c>
    </row>
    <row r="6" spans="1:7" x14ac:dyDescent="0.3">
      <c r="A6" t="s">
        <v>73</v>
      </c>
      <c r="B6">
        <v>452</v>
      </c>
      <c r="C6" t="s">
        <v>61</v>
      </c>
      <c r="D6">
        <v>2</v>
      </c>
      <c r="E6">
        <f t="shared" si="0"/>
        <v>904</v>
      </c>
      <c r="F6" t="s">
        <v>61</v>
      </c>
      <c r="G6" s="6" t="s">
        <v>76</v>
      </c>
    </row>
    <row r="7" spans="1:7" x14ac:dyDescent="0.3">
      <c r="A7" t="s">
        <v>79</v>
      </c>
      <c r="B7">
        <v>394</v>
      </c>
      <c r="C7" t="s">
        <v>61</v>
      </c>
      <c r="D7">
        <v>1</v>
      </c>
      <c r="E7">
        <f t="shared" si="0"/>
        <v>394</v>
      </c>
      <c r="F7" t="s">
        <v>61</v>
      </c>
      <c r="G7" s="6" t="s">
        <v>78</v>
      </c>
    </row>
    <row r="8" spans="1:7" x14ac:dyDescent="0.3">
      <c r="A8" t="s">
        <v>77</v>
      </c>
      <c r="B8">
        <v>250</v>
      </c>
      <c r="C8" t="s">
        <v>61</v>
      </c>
      <c r="D8">
        <v>1</v>
      </c>
      <c r="E8">
        <f t="shared" si="0"/>
        <v>250</v>
      </c>
      <c r="F8" t="s">
        <v>61</v>
      </c>
      <c r="G8" s="6" t="s">
        <v>75</v>
      </c>
    </row>
    <row r="9" spans="1:7" x14ac:dyDescent="0.3">
      <c r="A9" t="s">
        <v>80</v>
      </c>
      <c r="B9">
        <v>75</v>
      </c>
      <c r="C9" t="s">
        <v>61</v>
      </c>
      <c r="D9">
        <v>2</v>
      </c>
      <c r="E9">
        <f t="shared" si="0"/>
        <v>150</v>
      </c>
      <c r="F9" t="s">
        <v>61</v>
      </c>
      <c r="G9" s="6" t="s">
        <v>81</v>
      </c>
    </row>
    <row r="10" spans="1:7" x14ac:dyDescent="0.3">
      <c r="A10" t="s">
        <v>83</v>
      </c>
      <c r="B10">
        <v>106</v>
      </c>
      <c r="C10" t="s">
        <v>61</v>
      </c>
      <c r="D10">
        <v>1</v>
      </c>
      <c r="E10">
        <f t="shared" si="0"/>
        <v>106</v>
      </c>
      <c r="F10" t="s">
        <v>61</v>
      </c>
      <c r="G10" s="6" t="s">
        <v>82</v>
      </c>
    </row>
    <row r="11" spans="1:7" x14ac:dyDescent="0.3">
      <c r="A11" t="s">
        <v>84</v>
      </c>
      <c r="B11">
        <v>71</v>
      </c>
      <c r="C11" t="s">
        <v>61</v>
      </c>
      <c r="D11">
        <v>1</v>
      </c>
      <c r="E11">
        <f t="shared" si="0"/>
        <v>71</v>
      </c>
      <c r="F11" t="s">
        <v>61</v>
      </c>
      <c r="G11" s="6" t="s">
        <v>85</v>
      </c>
    </row>
    <row r="12" spans="1:7" x14ac:dyDescent="0.3">
      <c r="A12" t="s">
        <v>87</v>
      </c>
      <c r="B12">
        <v>231</v>
      </c>
      <c r="C12" t="s">
        <v>61</v>
      </c>
      <c r="D12">
        <v>2</v>
      </c>
      <c r="E12">
        <f t="shared" ref="E12:E17" si="1">D12*B12</f>
        <v>462</v>
      </c>
      <c r="F12" t="s">
        <v>61</v>
      </c>
      <c r="G12" s="6" t="s">
        <v>86</v>
      </c>
    </row>
    <row r="13" spans="1:7" x14ac:dyDescent="0.3">
      <c r="A13" t="s">
        <v>89</v>
      </c>
      <c r="B13">
        <v>149</v>
      </c>
      <c r="C13" t="s">
        <v>61</v>
      </c>
      <c r="D13">
        <v>1</v>
      </c>
      <c r="E13">
        <f t="shared" si="1"/>
        <v>149</v>
      </c>
      <c r="F13" t="s">
        <v>61</v>
      </c>
      <c r="G13" s="6" t="s">
        <v>88</v>
      </c>
    </row>
    <row r="14" spans="1:7" x14ac:dyDescent="0.3">
      <c r="A14" t="s">
        <v>91</v>
      </c>
      <c r="B14">
        <v>60</v>
      </c>
      <c r="C14" t="s">
        <v>61</v>
      </c>
      <c r="D14">
        <v>1</v>
      </c>
      <c r="E14">
        <f t="shared" si="1"/>
        <v>60</v>
      </c>
      <c r="F14" t="s">
        <v>61</v>
      </c>
      <c r="G14" s="6" t="s">
        <v>90</v>
      </c>
    </row>
    <row r="15" spans="1:7" x14ac:dyDescent="0.3">
      <c r="A15" t="s">
        <v>92</v>
      </c>
      <c r="B15">
        <v>290</v>
      </c>
      <c r="C15" t="s">
        <v>61</v>
      </c>
      <c r="D15">
        <v>1</v>
      </c>
      <c r="E15">
        <f t="shared" si="1"/>
        <v>290</v>
      </c>
      <c r="F15" t="s">
        <v>61</v>
      </c>
      <c r="G15" s="6" t="s">
        <v>93</v>
      </c>
    </row>
    <row r="16" spans="1:7" x14ac:dyDescent="0.3">
      <c r="A16" t="s">
        <v>95</v>
      </c>
      <c r="B16">
        <v>76</v>
      </c>
      <c r="C16" t="s">
        <v>61</v>
      </c>
      <c r="D16">
        <v>2</v>
      </c>
      <c r="E16">
        <f t="shared" si="1"/>
        <v>152</v>
      </c>
      <c r="F16" t="s">
        <v>61</v>
      </c>
      <c r="G16" s="6" t="s">
        <v>97</v>
      </c>
    </row>
    <row r="17" spans="1:7" x14ac:dyDescent="0.3">
      <c r="A17" t="s">
        <v>94</v>
      </c>
      <c r="B17">
        <v>369</v>
      </c>
      <c r="C17" t="s">
        <v>61</v>
      </c>
      <c r="D17">
        <v>1</v>
      </c>
      <c r="E17">
        <f t="shared" si="1"/>
        <v>369</v>
      </c>
      <c r="F17" t="s">
        <v>61</v>
      </c>
      <c r="G17" s="6" t="s">
        <v>96</v>
      </c>
    </row>
    <row r="18" spans="1:7" x14ac:dyDescent="0.3">
      <c r="A18" t="s">
        <v>102</v>
      </c>
      <c r="E18">
        <v>226</v>
      </c>
      <c r="F18" t="s">
        <v>61</v>
      </c>
      <c r="G18" s="6" t="s">
        <v>103</v>
      </c>
    </row>
    <row r="20" spans="1:7" x14ac:dyDescent="0.3">
      <c r="A20" s="1" t="s">
        <v>74</v>
      </c>
      <c r="B20" s="1"/>
      <c r="C20" s="1"/>
      <c r="D20" s="1"/>
      <c r="E20" s="1">
        <f>SUM(E3:E19)</f>
        <v>4126</v>
      </c>
      <c r="F20" s="1" t="s">
        <v>61</v>
      </c>
    </row>
    <row r="24" spans="1:7" x14ac:dyDescent="0.3">
      <c r="A24" s="1" t="s">
        <v>104</v>
      </c>
    </row>
    <row r="25" spans="1:7" x14ac:dyDescent="0.3">
      <c r="A25" s="1" t="s">
        <v>66</v>
      </c>
      <c r="B25" s="1" t="s">
        <v>72</v>
      </c>
      <c r="C25" s="1"/>
      <c r="D25" s="1" t="s">
        <v>71</v>
      </c>
      <c r="E25" s="1" t="s">
        <v>67</v>
      </c>
      <c r="G25" s="1" t="s">
        <v>68</v>
      </c>
    </row>
    <row r="26" spans="1:7" x14ac:dyDescent="0.3">
      <c r="A26" t="s">
        <v>63</v>
      </c>
      <c r="B26">
        <v>270</v>
      </c>
      <c r="C26" t="s">
        <v>61</v>
      </c>
      <c r="D26">
        <v>1</v>
      </c>
      <c r="E26">
        <f>D26*B26</f>
        <v>270</v>
      </c>
      <c r="F26" t="s">
        <v>61</v>
      </c>
      <c r="G26" s="6" t="s">
        <v>65</v>
      </c>
    </row>
    <row r="27" spans="1:7" x14ac:dyDescent="0.3">
      <c r="A27" t="s">
        <v>64</v>
      </c>
      <c r="B27">
        <v>176</v>
      </c>
      <c r="C27" t="s">
        <v>61</v>
      </c>
      <c r="D27">
        <v>1</v>
      </c>
      <c r="E27">
        <f t="shared" ref="E27" si="2">D27*B27</f>
        <v>176</v>
      </c>
      <c r="F27" t="s">
        <v>61</v>
      </c>
      <c r="G27" s="6" t="s">
        <v>62</v>
      </c>
    </row>
    <row r="28" spans="1:7" x14ac:dyDescent="0.3">
      <c r="A28" t="s">
        <v>79</v>
      </c>
      <c r="B28">
        <v>394</v>
      </c>
      <c r="C28" t="s">
        <v>61</v>
      </c>
      <c r="D28">
        <v>1</v>
      </c>
      <c r="E28">
        <f t="shared" ref="E28:E34" si="3">D28*B28</f>
        <v>394</v>
      </c>
      <c r="F28" t="s">
        <v>61</v>
      </c>
      <c r="G28" s="6" t="s">
        <v>78</v>
      </c>
    </row>
    <row r="29" spans="1:7" x14ac:dyDescent="0.3">
      <c r="A29" t="s">
        <v>77</v>
      </c>
      <c r="B29">
        <v>250</v>
      </c>
      <c r="C29" t="s">
        <v>61</v>
      </c>
      <c r="D29">
        <v>1</v>
      </c>
      <c r="E29">
        <f t="shared" si="3"/>
        <v>250</v>
      </c>
      <c r="F29" t="s">
        <v>61</v>
      </c>
      <c r="G29" s="6" t="s">
        <v>75</v>
      </c>
    </row>
    <row r="30" spans="1:7" x14ac:dyDescent="0.3">
      <c r="A30" t="s">
        <v>83</v>
      </c>
      <c r="B30">
        <v>106</v>
      </c>
      <c r="C30" t="s">
        <v>61</v>
      </c>
      <c r="D30">
        <v>1</v>
      </c>
      <c r="E30">
        <f t="shared" si="3"/>
        <v>106</v>
      </c>
      <c r="F30" t="s">
        <v>61</v>
      </c>
      <c r="G30" s="6" t="s">
        <v>82</v>
      </c>
    </row>
    <row r="31" spans="1:7" x14ac:dyDescent="0.3">
      <c r="A31" t="s">
        <v>87</v>
      </c>
      <c r="B31">
        <v>231</v>
      </c>
      <c r="C31" t="s">
        <v>61</v>
      </c>
      <c r="D31">
        <v>2</v>
      </c>
      <c r="E31">
        <f t="shared" si="3"/>
        <v>462</v>
      </c>
      <c r="F31" t="s">
        <v>61</v>
      </c>
      <c r="G31" s="6" t="s">
        <v>86</v>
      </c>
    </row>
    <row r="32" spans="1:7" x14ac:dyDescent="0.3">
      <c r="A32" t="s">
        <v>91</v>
      </c>
      <c r="B32">
        <v>60</v>
      </c>
      <c r="C32" t="s">
        <v>61</v>
      </c>
      <c r="D32">
        <v>1</v>
      </c>
      <c r="E32">
        <f t="shared" si="3"/>
        <v>60</v>
      </c>
      <c r="F32" t="s">
        <v>61</v>
      </c>
      <c r="G32" s="6" t="s">
        <v>90</v>
      </c>
    </row>
    <row r="33" spans="1:7" x14ac:dyDescent="0.3">
      <c r="A33" t="s">
        <v>92</v>
      </c>
      <c r="B33">
        <v>290</v>
      </c>
      <c r="C33" t="s">
        <v>61</v>
      </c>
      <c r="D33">
        <v>1</v>
      </c>
      <c r="E33">
        <f t="shared" si="3"/>
        <v>290</v>
      </c>
      <c r="F33" t="s">
        <v>61</v>
      </c>
      <c r="G33" s="6" t="s">
        <v>93</v>
      </c>
    </row>
    <row r="34" spans="1:7" x14ac:dyDescent="0.3">
      <c r="A34" t="s">
        <v>94</v>
      </c>
      <c r="B34">
        <v>369</v>
      </c>
      <c r="C34" t="s">
        <v>61</v>
      </c>
      <c r="D34">
        <v>1</v>
      </c>
      <c r="E34">
        <f t="shared" si="3"/>
        <v>369</v>
      </c>
      <c r="F34" t="s">
        <v>61</v>
      </c>
      <c r="G34" s="6" t="s">
        <v>96</v>
      </c>
    </row>
    <row r="36" spans="1:7" x14ac:dyDescent="0.3">
      <c r="A36" s="1" t="s">
        <v>74</v>
      </c>
      <c r="B36" s="1"/>
      <c r="C36" s="1"/>
      <c r="D36" s="1"/>
      <c r="E36" s="1">
        <f>SUM(E26:E34)</f>
        <v>2377</v>
      </c>
      <c r="F36" s="1" t="s">
        <v>61</v>
      </c>
    </row>
  </sheetData>
  <hyperlinks>
    <hyperlink ref="G17" r:id="rId1" xr:uid="{536013AC-D9AE-47EE-9F20-C3BE9A1B8DEA}"/>
    <hyperlink ref="G16" r:id="rId2" xr:uid="{3E0AD8AB-B84D-4C16-8A87-87D645B79E94}"/>
    <hyperlink ref="G15" r:id="rId3" xr:uid="{CDE41299-D61D-4B64-90AE-3CCEA51260B4}"/>
    <hyperlink ref="G14" r:id="rId4" xr:uid="{E1C7EF24-037B-4DD6-AE76-D4B7F261C22D}"/>
    <hyperlink ref="G13" r:id="rId5" xr:uid="{0506E1B3-D8E7-43E1-9FA7-DC216EEE7613}"/>
    <hyperlink ref="G12" r:id="rId6" xr:uid="{18B38D37-7ACE-4AF7-AC09-F13FC5CB0A04}"/>
    <hyperlink ref="G11" r:id="rId7" xr:uid="{20D802F8-501D-4E3E-9153-B9D87BAF277D}"/>
    <hyperlink ref="G10" r:id="rId8" xr:uid="{64F2DB61-9B1C-40D1-8729-B04035EED90D}"/>
    <hyperlink ref="G9" r:id="rId9" xr:uid="{3342FBE0-5653-4612-8F67-15A7C92C9743}"/>
    <hyperlink ref="G8" r:id="rId10" xr:uid="{5081796B-A1F0-4356-A05A-E7AB2E762C48}"/>
    <hyperlink ref="G7" r:id="rId11" xr:uid="{1B313EC5-7480-44C6-8A4C-2FD756A8BF5C}"/>
    <hyperlink ref="G6" r:id="rId12" xr:uid="{A8427595-1E69-4B84-9F93-C0B67024EB0C}"/>
    <hyperlink ref="G4" r:id="rId13" xr:uid="{0A07AA73-3C21-4FF1-8309-713EAD2E8F54}"/>
    <hyperlink ref="G3" r:id="rId14" xr:uid="{EF92809E-9EE9-49EF-A62E-FB1D2D80573F}"/>
    <hyperlink ref="G5" r:id="rId15" xr:uid="{9E2BF653-945F-4621-B076-5F4F97BF4142}"/>
    <hyperlink ref="G34" r:id="rId16" xr:uid="{E43E1328-D115-4587-8C6D-009718C48DBB}"/>
    <hyperlink ref="G33" r:id="rId17" xr:uid="{D71D8836-32A3-42FD-BCB7-22DF5D9B2E72}"/>
    <hyperlink ref="G32" r:id="rId18" xr:uid="{2432A68C-20AD-461D-8688-011B7DF6F8E0}"/>
    <hyperlink ref="G31" r:id="rId19" xr:uid="{0D5D95CA-FD95-45CD-B7D0-0EC21D0889FA}"/>
    <hyperlink ref="G30" r:id="rId20" xr:uid="{31157D94-088D-404D-87CD-E4B36EB7824B}"/>
    <hyperlink ref="G29" r:id="rId21" xr:uid="{E065B840-4173-4275-9742-CD3E6B8F74F4}"/>
    <hyperlink ref="G28" r:id="rId22" xr:uid="{E246DD9D-3A16-4F1F-AAA9-EB0798CD8136}"/>
    <hyperlink ref="G27" r:id="rId23" xr:uid="{F7547FFE-C519-4FF9-B7C6-9C72106C515B}"/>
    <hyperlink ref="G26" r:id="rId24" xr:uid="{A8D59F67-B73E-4AA9-A538-EBB6626830C4}"/>
    <hyperlink ref="G18" r:id="rId25" xr:uid="{659FE554-2047-475D-BBBB-C0D9F0949B86}"/>
  </hyperlinks>
  <pageMargins left="0.7" right="0.7" top="0.75" bottom="0.75" header="0.3" footer="0.3"/>
  <pageSetup paperSize="9"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10</vt:i4>
      </vt:variant>
    </vt:vector>
  </HeadingPairs>
  <TitlesOfParts>
    <vt:vector size="10" baseType="lpstr">
      <vt:lpstr>Ark1</vt:lpstr>
      <vt:lpstr>Integrated Test</vt:lpstr>
      <vt:lpstr>SeedTest</vt:lpstr>
      <vt:lpstr>Root Cutter Test</vt:lpstr>
      <vt:lpstr>Dry Substrate Test</vt:lpstr>
      <vt:lpstr>Used Substrate Test</vt:lpstr>
      <vt:lpstr>PlugDim</vt:lpstr>
      <vt:lpstr>Substrate Depth Test</vt:lpstr>
      <vt:lpstr>Plug Cup Gripper Test</vt:lpstr>
      <vt:lpstr>Component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Amund Kleist Godal</dc:creator>
  <cp:lastModifiedBy>Amund Kleist Godal</cp:lastModifiedBy>
  <dcterms:created xsi:type="dcterms:W3CDTF">2026-03-25T14:00:15Z</dcterms:created>
  <dcterms:modified xsi:type="dcterms:W3CDTF">2026-06-03T12:00:07Z</dcterms:modified>
</cp:coreProperties>
</file>
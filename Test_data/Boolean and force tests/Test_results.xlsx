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okumenter\Skole\Master\Master-s-Thesis\Test_data\Boolean and force tests\"/>
    </mc:Choice>
  </mc:AlternateContent>
  <xr:revisionPtr revIDLastSave="0" documentId="13_ncr:1_{7C6250AE-AFAE-4601-B78B-9B586202E420}" xr6:coauthVersionLast="47" xr6:coauthVersionMax="47" xr10:uidLastSave="{00000000-0000-0000-0000-000000000000}"/>
  <bookViews>
    <workbookView xWindow="-108" yWindow="-108" windowWidth="23256" windowHeight="12576" firstSheet="1" activeTab="1" xr2:uid="{183E3E47-5F56-400D-983A-CDA78A52BF4C}"/>
  </bookViews>
  <sheets>
    <sheet name="Ark1" sheetId="1" state="hidden" r:id="rId1"/>
    <sheet name="Full Test" sheetId="5" r:id="rId2"/>
    <sheet name="SeedTest" sheetId="2" r:id="rId3"/>
    <sheet name="Root Cutter Test" sheetId="7" r:id="rId4"/>
    <sheet name="Dry Substrate Test" sheetId="3" r:id="rId5"/>
    <sheet name="Used Substrate Test" sheetId="10" r:id="rId6"/>
    <sheet name="PlugDim" sheetId="4" r:id="rId7"/>
    <sheet name="Substrate Depth Test" sheetId="9" r:id="rId8"/>
    <sheet name="Plug Cup Gripper Test" sheetId="6" r:id="rId9"/>
    <sheet name="Component Costs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I13" i="5"/>
  <c r="C13" i="5"/>
  <c r="C23" i="7"/>
  <c r="G18" i="4"/>
  <c r="E18" i="4"/>
  <c r="B18" i="4"/>
  <c r="G17" i="4"/>
  <c r="E17" i="4"/>
  <c r="B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C17" i="4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E20" i="8"/>
  <c r="E34" i="8"/>
  <c r="E33" i="8"/>
  <c r="E32" i="8"/>
  <c r="E31" i="8"/>
  <c r="E30" i="8"/>
  <c r="E29" i="8"/>
  <c r="E28" i="8"/>
  <c r="E27" i="8"/>
  <c r="E26" i="8"/>
  <c r="E36" i="8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O26" i="2"/>
  <c r="M26" i="2"/>
  <c r="K26" i="2"/>
  <c r="O25" i="2"/>
  <c r="M25" i="2"/>
  <c r="K25" i="2"/>
  <c r="H13" i="5"/>
  <c r="G13" i="5"/>
  <c r="F13" i="5"/>
  <c r="E13" i="5"/>
  <c r="B13" i="5"/>
  <c r="D50" i="5"/>
  <c r="D51" i="5" s="1"/>
  <c r="E5" i="6"/>
  <c r="E6" i="6"/>
  <c r="E7" i="6"/>
  <c r="E8" i="6"/>
  <c r="E4" i="6"/>
  <c r="D5" i="6"/>
  <c r="D6" i="6"/>
  <c r="D7" i="6"/>
  <c r="D8" i="6"/>
  <c r="D4" i="6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D27" i="2"/>
  <c r="E27" i="2"/>
  <c r="F27" i="2"/>
  <c r="G27" i="2"/>
  <c r="C27" i="2"/>
  <c r="B27" i="2"/>
  <c r="C26" i="2"/>
  <c r="D26" i="2"/>
  <c r="E26" i="2"/>
  <c r="F26" i="2"/>
  <c r="G26" i="2"/>
  <c r="B26" i="2"/>
  <c r="D17" i="4" l="1"/>
  <c r="F17" i="4"/>
</calcChain>
</file>

<file path=xl/sharedStrings.xml><?xml version="1.0" encoding="utf-8"?>
<sst xmlns="http://schemas.openxmlformats.org/spreadsheetml/2006/main" count="264" uniqueCount="122">
  <si>
    <t>Time</t>
  </si>
  <si>
    <t>Pressure (bar)</t>
  </si>
  <si>
    <t>Seed Pickups</t>
  </si>
  <si>
    <t>Seed type</t>
  </si>
  <si>
    <t>Ordinary basil</t>
  </si>
  <si>
    <t>Malachai Cale</t>
  </si>
  <si>
    <t>Green Salad</t>
  </si>
  <si>
    <t>Fail = 0</t>
  </si>
  <si>
    <t>Success = 1</t>
  </si>
  <si>
    <t>Test #</t>
  </si>
  <si>
    <t>n Seeds</t>
  </si>
  <si>
    <t xml:space="preserve">Average: </t>
  </si>
  <si>
    <t>Std. dev</t>
  </si>
  <si>
    <t>Depth [cm]</t>
  </si>
  <si>
    <t>Success (0/1)</t>
  </si>
  <si>
    <t>Force Max [g]</t>
  </si>
  <si>
    <t>Force Max [N]</t>
  </si>
  <si>
    <t>Unused Moist  Substrate</t>
  </si>
  <si>
    <t>Plug Size and Deviations</t>
  </si>
  <si>
    <t xml:space="preserve">Plug # </t>
  </si>
  <si>
    <t xml:space="preserve">Middle hole </t>
  </si>
  <si>
    <t>Outer inscribed</t>
  </si>
  <si>
    <t>Center Distance</t>
  </si>
  <si>
    <t>Mean</t>
  </si>
  <si>
    <t>Std.dev</t>
  </si>
  <si>
    <t xml:space="preserve">Mean Deviation </t>
  </si>
  <si>
    <t>Deviation</t>
  </si>
  <si>
    <t>Nom</t>
  </si>
  <si>
    <t>Fulltest</t>
  </si>
  <si>
    <t>Plugstate</t>
  </si>
  <si>
    <t>Success</t>
  </si>
  <si>
    <t>Seed Type</t>
  </si>
  <si>
    <t>S</t>
  </si>
  <si>
    <t>B</t>
  </si>
  <si>
    <t>G</t>
  </si>
  <si>
    <t>M</t>
  </si>
  <si>
    <t>OG</t>
  </si>
  <si>
    <t>UG</t>
  </si>
  <si>
    <t>Fail</t>
  </si>
  <si>
    <t xml:space="preserve">Split </t>
  </si>
  <si>
    <t>Dig Length [cm]</t>
  </si>
  <si>
    <t>D =Dry</t>
  </si>
  <si>
    <t>M = moist</t>
  </si>
  <si>
    <t xml:space="preserve">UG = undergrown </t>
  </si>
  <si>
    <t>G = Grown</t>
  </si>
  <si>
    <t>OG = overgrown</t>
  </si>
  <si>
    <t>Pickup</t>
  </si>
  <si>
    <t>Unused Dry  Substrate 3 mm steel needle</t>
  </si>
  <si>
    <t>Cup Load Test</t>
  </si>
  <si>
    <t xml:space="preserve">Small Weights </t>
  </si>
  <si>
    <t>Large Weights</t>
  </si>
  <si>
    <t>Large</t>
  </si>
  <si>
    <t xml:space="preserve">Small </t>
  </si>
  <si>
    <t>Setup</t>
  </si>
  <si>
    <t>Total Load[kg]</t>
  </si>
  <si>
    <t>Total Load [N]</t>
  </si>
  <si>
    <t>Deflection[mm]</t>
  </si>
  <si>
    <t>Weights [kg]</t>
  </si>
  <si>
    <t>s</t>
  </si>
  <si>
    <t>%</t>
  </si>
  <si>
    <t>New Plug</t>
  </si>
  <si>
    <t>Used Plug</t>
  </si>
  <si>
    <t>Placement</t>
  </si>
  <si>
    <t xml:space="preserve">Seed Pickup  </t>
  </si>
  <si>
    <t>n. Seed</t>
  </si>
  <si>
    <t xml:space="preserve">Aerated </t>
  </si>
  <si>
    <t>Malachai Kale</t>
  </si>
  <si>
    <t>Plug Growth</t>
  </si>
  <si>
    <t>Runs</t>
  </si>
  <si>
    <t>Fail Node</t>
  </si>
  <si>
    <t>Deflection</t>
  </si>
  <si>
    <t>Too grown</t>
  </si>
  <si>
    <t>Sucess avg.</t>
  </si>
  <si>
    <t>kr</t>
  </si>
  <si>
    <t>https://no.rs-online.com/web/p/micro-switches/2496861</t>
  </si>
  <si>
    <t xml:space="preserve">Differential Pressure </t>
  </si>
  <si>
    <t>Micro Switch</t>
  </si>
  <si>
    <t>https://no.rs-online.com/web/p/pressure-sensor-ics/7191103</t>
  </si>
  <si>
    <t>Part</t>
  </si>
  <si>
    <t>Cost</t>
  </si>
  <si>
    <t>Link</t>
  </si>
  <si>
    <t>https://no.rs-online.com/web/p/tubing-and-profile-struts/7866006</t>
  </si>
  <si>
    <t>Stainless Steel Rod</t>
  </si>
  <si>
    <t>Amount</t>
  </si>
  <si>
    <t>Cost/unit</t>
  </si>
  <si>
    <t>Stepper motor w/lead screw</t>
  </si>
  <si>
    <t xml:space="preserve">Total: </t>
  </si>
  <si>
    <t>https://www.sparkfun.com/vacuum-pump-12v.html</t>
  </si>
  <si>
    <t>https://www.prusa3d.com/product/stepper-motor-z-axis-left-2/</t>
  </si>
  <si>
    <t>Sparkfun Vacuum Pump</t>
  </si>
  <si>
    <t>https://no.rs-online.com/web/p/air-hoses/0225892</t>
  </si>
  <si>
    <t>Comressed air pipe</t>
  </si>
  <si>
    <t>Lead Screw nut</t>
  </si>
  <si>
    <t>https://www.prusa3d.com/product/trapezoid-nut-i3-mk4-mmu2-2s-3/</t>
  </si>
  <si>
    <t>https://www.apotek1.no/produkter/sterican-kanyle-g19x1-1-2-1.10x40mm-100stk-920975p</t>
  </si>
  <si>
    <t>kanyle G19X1 1/2</t>
  </si>
  <si>
    <t>NPN Transistor</t>
  </si>
  <si>
    <t>https://no.rs-online.com/web/p/darlington-pairs/4369779</t>
  </si>
  <si>
    <t>https://no.rs-online.com/web/p/servo-motors/7813058</t>
  </si>
  <si>
    <t>Parallax Inc Standard Servo</t>
  </si>
  <si>
    <t>https://mrsmart.no/mg-90s-mikroservo-180-grader-girkasse-i-metall-id81?srsltid=AfmBOooD13OfHHspmwDb_nY02owm3Pnzz_Goa4hMgcJ4nAIrosWN8X812fA</t>
  </si>
  <si>
    <t>MG-90S Micro servo</t>
  </si>
  <si>
    <t>https://www.jula.no/catalog/bygg-og-maling/maling-og-fugemasse/tekstil-og-tapet/tapetseringsverktoy/barberblad-014966/?srsltid=AfmBOorLlHgtq5kSFQZRFqiLNekvDPMOkyd6A1gf-XoDKmOSXl2N98MDU3M</t>
  </si>
  <si>
    <t>Razor blade</t>
  </si>
  <si>
    <t>Linear Ball Bearing</t>
  </si>
  <si>
    <t>https://no.rs-online.com/web/p/linear-bearings/0576637</t>
  </si>
  <si>
    <t>Row Ball Bearing 25 mm ID</t>
  </si>
  <si>
    <t>Row Ball Bearing 8 mm ID</t>
  </si>
  <si>
    <t>https://no.rs-online.com/web/p/ball-bearings/2850611</t>
  </si>
  <si>
    <t>https://no.rs-online.com/web/p/ball-bearings/2346922</t>
  </si>
  <si>
    <t>Test</t>
  </si>
  <si>
    <t>Insertion Depth</t>
  </si>
  <si>
    <t>No Pickup</t>
  </si>
  <si>
    <t>Plug Split</t>
  </si>
  <si>
    <t>Adafriut Metro</t>
  </si>
  <si>
    <t>https://no.rs-online.com/web/p/microcontroller-development-tools/1245519</t>
  </si>
  <si>
    <t xml:space="preserve">Actual Bought </t>
  </si>
  <si>
    <t>Root Cutter Final Test</t>
  </si>
  <si>
    <t>Used Plug Test</t>
  </si>
  <si>
    <t>Success [%]</t>
  </si>
  <si>
    <t>Compound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</si>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</sst>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2" xfId="0" applyBorder="1"/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3" fillId="0" borderId="0" xfId="2"/>
    <xf numFmtId="1" fontId="0" fillId="0" borderId="0" xfId="0" applyNumberFormat="1" applyAlignment="1">
      <alignment horizontal="left" vertical="center"/>
    </xf>
    <xf numFmtId="0" fontId="1" fillId="3" borderId="1" xfId="1" applyFill="1"/>
    <xf numFmtId="0" fontId="2" fillId="3" borderId="3" xfId="0" applyFont="1" applyFill="1" applyBorder="1"/>
    <xf numFmtId="0" fontId="1" fillId="3" borderId="3" xfId="1" applyFill="1" applyBorder="1"/>
    <xf numFmtId="0" fontId="0" fillId="3" borderId="3" xfId="0" applyFill="1" applyBorder="1"/>
    <xf numFmtId="2" fontId="0" fillId="3" borderId="3" xfId="0" applyNumberFormat="1" applyFill="1" applyBorder="1"/>
  </cellXfs>
  <cellStyles count="3">
    <cellStyle name="Hyperkobling" xfId="2" builtinId="8"/>
    <cellStyle name="Normal" xfId="0" builtinId="0"/>
    <cellStyle name="Utdat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Pressure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Pressure (bar)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'Ark1'!$A$2:$A$42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cat>
          <c:val>
            <c:numRef>
              <c:f>'Ark1'!$B$2:$B$42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-0.4</c:v>
                </c:pt>
                <c:pt idx="7">
                  <c:v>-0.8</c:v>
                </c:pt>
                <c:pt idx="8">
                  <c:v>-1.1000000000000001</c:v>
                </c:pt>
                <c:pt idx="9">
                  <c:v>-1.3</c:v>
                </c:pt>
                <c:pt idx="10">
                  <c:v>-1.4</c:v>
                </c:pt>
                <c:pt idx="11">
                  <c:v>-1.45</c:v>
                </c:pt>
                <c:pt idx="12">
                  <c:v>-1.5</c:v>
                </c:pt>
                <c:pt idx="13">
                  <c:v>-1.5</c:v>
                </c:pt>
                <c:pt idx="14">
                  <c:v>-1.5</c:v>
                </c:pt>
                <c:pt idx="15">
                  <c:v>-1.5</c:v>
                </c:pt>
                <c:pt idx="16">
                  <c:v>-1.5</c:v>
                </c:pt>
                <c:pt idx="17">
                  <c:v>-1.5</c:v>
                </c:pt>
                <c:pt idx="18">
                  <c:v>-1.5</c:v>
                </c:pt>
                <c:pt idx="19">
                  <c:v>-1.5</c:v>
                </c:pt>
                <c:pt idx="20">
                  <c:v>-1.5</c:v>
                </c:pt>
                <c:pt idx="21">
                  <c:v>-1.5</c:v>
                </c:pt>
                <c:pt idx="22">
                  <c:v>-1.5</c:v>
                </c:pt>
                <c:pt idx="23">
                  <c:v>-1.5</c:v>
                </c:pt>
                <c:pt idx="24">
                  <c:v>-1.5</c:v>
                </c:pt>
                <c:pt idx="25">
                  <c:v>-1.5</c:v>
                </c:pt>
                <c:pt idx="26">
                  <c:v>-1.5</c:v>
                </c:pt>
                <c:pt idx="27">
                  <c:v>-0.7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1-43A6-92EB-DA8F9B899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0767"/>
        <c:axId val="1737426447"/>
      </c:lineChart>
      <c:catAx>
        <c:axId val="173743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26447"/>
        <c:crosses val="autoZero"/>
        <c:auto val="1"/>
        <c:lblAlgn val="ctr"/>
        <c:lblOffset val="100"/>
        <c:noMultiLvlLbl val="0"/>
      </c:catAx>
      <c:valAx>
        <c:axId val="17374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43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111449</xdr:colOff>
      <xdr:row>1</xdr:row>
      <xdr:rowOff>152400</xdr:rowOff>
    </xdr:from>
    <xdr:to>
      <xdr:col>8</xdr:col>
      <xdr:colOff>717939</xdr:colOff>
      <xdr:row>16</xdr:row>
      <xdr:rowOff>174172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DBF95E74-CD53-3921-D4AA-33BF7B337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tek1.no/produkter/sterican-kanyle-g19x1-1-2-1.10x40mm-100stk-920975p" TargetMode="External"/><Relationship Id="rId13" Type="http://schemas.openxmlformats.org/officeDocument/2006/relationships/hyperlink" Target="https://no.rs-online.com/web/p/micro-switches/2496861" TargetMode="External"/><Relationship Id="rId18" Type="http://schemas.openxmlformats.org/officeDocument/2006/relationships/hyperlink" Target="https://www.jula.no/catalog/bygg-og-maling/maling-og-fugemasse/tekstil-og-tapet/tapetseringsverktoy/barberblad-014966/?srsltid=AfmBOorLlHgtq5kSFQZRFqiLNekvDPMOkyd6A1gf-XoDKmOSXl2N98MDU3M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https://no.rs-online.com/web/p/linear-bearings/0576637" TargetMode="External"/><Relationship Id="rId21" Type="http://schemas.openxmlformats.org/officeDocument/2006/relationships/hyperlink" Target="https://www.sparkfun.com/vacuum-pump-12v.html" TargetMode="External"/><Relationship Id="rId7" Type="http://schemas.openxmlformats.org/officeDocument/2006/relationships/hyperlink" Target="https://no.rs-online.com/web/p/darlington-pairs/4369779" TargetMode="External"/><Relationship Id="rId12" Type="http://schemas.openxmlformats.org/officeDocument/2006/relationships/hyperlink" Target="https://www.prusa3d.com/product/stepper-motor-z-axis-left-2/" TargetMode="External"/><Relationship Id="rId17" Type="http://schemas.openxmlformats.org/officeDocument/2006/relationships/hyperlink" Target="https://no.rs-online.com/web/p/linear-bearings/0576637" TargetMode="External"/><Relationship Id="rId25" Type="http://schemas.openxmlformats.org/officeDocument/2006/relationships/hyperlink" Target="https://no.rs-online.com/web/p/microcontroller-development-tools/1245519" TargetMode="External"/><Relationship Id="rId2" Type="http://schemas.openxmlformats.org/officeDocument/2006/relationships/hyperlink" Target="https://no.rs-online.com/web/p/ball-bearings/2346922" TargetMode="External"/><Relationship Id="rId16" Type="http://schemas.openxmlformats.org/officeDocument/2006/relationships/hyperlink" Target="https://no.rs-online.com/web/p/ball-bearings/2850611" TargetMode="External"/><Relationship Id="rId20" Type="http://schemas.openxmlformats.org/officeDocument/2006/relationships/hyperlink" Target="https://www.apotek1.no/produkter/sterican-kanyle-g19x1-1-2-1.10x40mm-100stk-920975p" TargetMode="External"/><Relationship Id="rId1" Type="http://schemas.openxmlformats.org/officeDocument/2006/relationships/hyperlink" Target="https://no.rs-online.com/web/p/ball-bearings/2850611" TargetMode="External"/><Relationship Id="rId6" Type="http://schemas.openxmlformats.org/officeDocument/2006/relationships/hyperlink" Target="https://no.rs-online.com/web/p/servo-motors/7813058" TargetMode="External"/><Relationship Id="rId11" Type="http://schemas.openxmlformats.org/officeDocument/2006/relationships/hyperlink" Target="https://no.rs-online.com/web/p/air-hoses/0225892" TargetMode="External"/><Relationship Id="rId24" Type="http://schemas.openxmlformats.org/officeDocument/2006/relationships/hyperlink" Target="https://no.rs-online.com/web/p/pressure-sensor-ics/7191103" TargetMode="External"/><Relationship Id="rId5" Type="http://schemas.openxmlformats.org/officeDocument/2006/relationships/hyperlink" Target="https://mrsmart.no/mg-90s-mikroservo-180-grader-girkasse-i-metall-id81?srsltid=AfmBOooD13OfHHspmwDb_nY02owm3Pnzz_Goa4hMgcJ4nAIrosWN8X812fA" TargetMode="External"/><Relationship Id="rId15" Type="http://schemas.openxmlformats.org/officeDocument/2006/relationships/hyperlink" Target="https://no.rs-online.com/web/p/tubing-and-profile-struts/7866006" TargetMode="External"/><Relationship Id="rId23" Type="http://schemas.openxmlformats.org/officeDocument/2006/relationships/hyperlink" Target="https://no.rs-online.com/web/p/micro-switches/2496861" TargetMode="External"/><Relationship Id="rId10" Type="http://schemas.openxmlformats.org/officeDocument/2006/relationships/hyperlink" Target="https://www.sparkfun.com/vacuum-pump-12v.html" TargetMode="External"/><Relationship Id="rId19" Type="http://schemas.openxmlformats.org/officeDocument/2006/relationships/hyperlink" Target="https://no.rs-online.com/web/p/servo-motors/7813058" TargetMode="External"/><Relationship Id="rId4" Type="http://schemas.openxmlformats.org/officeDocument/2006/relationships/hyperlink" Target="https://www.jula.no/catalog/bygg-og-maling/maling-og-fugemasse/tekstil-og-tapet/tapetseringsverktoy/barberblad-014966/?srsltid=AfmBOorLlHgtq5kSFQZRFqiLNekvDPMOkyd6A1gf-XoDKmOSXl2N98MDU3M" TargetMode="External"/><Relationship Id="rId9" Type="http://schemas.openxmlformats.org/officeDocument/2006/relationships/hyperlink" Target="https://www.prusa3d.com/product/trapezoid-nut-i3-mk4-mmu2-2s-3/" TargetMode="External"/><Relationship Id="rId14" Type="http://schemas.openxmlformats.org/officeDocument/2006/relationships/hyperlink" Target="https://no.rs-online.com/web/p/pressure-sensor-ics/7191103" TargetMode="External"/><Relationship Id="rId22" Type="http://schemas.openxmlformats.org/officeDocument/2006/relationships/hyperlink" Target="https://no.rs-online.com/web/p/air-hoses/0225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4F9B-BEC4-4025-950D-5FD6FD7C7899}">
  <dimension ref="A1:B42"/>
  <sheetViews>
    <sheetView zoomScale="90" zoomScaleNormal="100" workbookViewId="0">
      <selection activeCell="C30" sqref="C30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-0.4</v>
      </c>
    </row>
    <row r="9" spans="1:2" x14ac:dyDescent="0.3">
      <c r="A9">
        <v>0.7</v>
      </c>
      <c r="B9">
        <v>-0.8</v>
      </c>
    </row>
    <row r="10" spans="1:2" x14ac:dyDescent="0.3">
      <c r="A10">
        <v>0.8</v>
      </c>
      <c r="B10">
        <v>-1.1000000000000001</v>
      </c>
    </row>
    <row r="11" spans="1:2" x14ac:dyDescent="0.3">
      <c r="A11">
        <v>0.9</v>
      </c>
      <c r="B11">
        <v>-1.3</v>
      </c>
    </row>
    <row r="12" spans="1:2" x14ac:dyDescent="0.3">
      <c r="A12">
        <v>1</v>
      </c>
      <c r="B12">
        <v>-1.4</v>
      </c>
    </row>
    <row r="13" spans="1:2" x14ac:dyDescent="0.3">
      <c r="A13">
        <v>1.1000000000000001</v>
      </c>
      <c r="B13">
        <v>-1.45</v>
      </c>
    </row>
    <row r="14" spans="1:2" x14ac:dyDescent="0.3">
      <c r="A14">
        <v>1.2</v>
      </c>
      <c r="B14">
        <v>-1.5</v>
      </c>
    </row>
    <row r="15" spans="1:2" x14ac:dyDescent="0.3">
      <c r="A15">
        <v>1.3</v>
      </c>
      <c r="B15">
        <v>-1.5</v>
      </c>
    </row>
    <row r="16" spans="1:2" x14ac:dyDescent="0.3">
      <c r="A16">
        <v>1.4</v>
      </c>
      <c r="B16">
        <v>-1.5</v>
      </c>
    </row>
    <row r="17" spans="1:2" x14ac:dyDescent="0.3">
      <c r="A17">
        <v>1.5</v>
      </c>
      <c r="B17">
        <v>-1.5</v>
      </c>
    </row>
    <row r="18" spans="1:2" x14ac:dyDescent="0.3">
      <c r="A18">
        <v>1.6</v>
      </c>
      <c r="B18">
        <v>-1.5</v>
      </c>
    </row>
    <row r="19" spans="1:2" x14ac:dyDescent="0.3">
      <c r="A19">
        <v>1.7</v>
      </c>
      <c r="B19">
        <v>-1.5</v>
      </c>
    </row>
    <row r="20" spans="1:2" x14ac:dyDescent="0.3">
      <c r="A20">
        <v>1.8</v>
      </c>
      <c r="B20">
        <v>-1.5</v>
      </c>
    </row>
    <row r="21" spans="1:2" x14ac:dyDescent="0.3">
      <c r="A21">
        <v>1.9</v>
      </c>
      <c r="B21">
        <v>-1.5</v>
      </c>
    </row>
    <row r="22" spans="1:2" x14ac:dyDescent="0.3">
      <c r="A22">
        <v>2</v>
      </c>
      <c r="B22">
        <v>-1.5</v>
      </c>
    </row>
    <row r="23" spans="1:2" x14ac:dyDescent="0.3">
      <c r="A23">
        <v>2.1</v>
      </c>
      <c r="B23">
        <v>-1.5</v>
      </c>
    </row>
    <row r="24" spans="1:2" x14ac:dyDescent="0.3">
      <c r="A24">
        <v>2.2000000000000002</v>
      </c>
      <c r="B24">
        <v>-1.5</v>
      </c>
    </row>
    <row r="25" spans="1:2" x14ac:dyDescent="0.3">
      <c r="A25">
        <v>2.2999999999999998</v>
      </c>
      <c r="B25">
        <v>-1.5</v>
      </c>
    </row>
    <row r="26" spans="1:2" x14ac:dyDescent="0.3">
      <c r="A26">
        <v>2.4</v>
      </c>
      <c r="B26">
        <v>-1.5</v>
      </c>
    </row>
    <row r="27" spans="1:2" x14ac:dyDescent="0.3">
      <c r="A27">
        <v>2.5</v>
      </c>
      <c r="B27">
        <v>-1.5</v>
      </c>
    </row>
    <row r="28" spans="1:2" x14ac:dyDescent="0.3">
      <c r="A28">
        <v>2.6</v>
      </c>
      <c r="B28">
        <v>-1.5</v>
      </c>
    </row>
    <row r="29" spans="1:2" x14ac:dyDescent="0.3">
      <c r="A29">
        <v>2.7</v>
      </c>
      <c r="B29">
        <v>-0.7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6439-95BC-4C9C-9BCA-76C12624FA01}">
  <dimension ref="A1:J54"/>
  <sheetViews>
    <sheetView tabSelected="1" workbookViewId="0">
      <selection activeCell="F19" sqref="F19"/>
    </sheetView>
  </sheetViews>
  <sheetFormatPr baseColWidth="10" defaultRowHeight="14.4" x14ac:dyDescent="0.3"/>
  <cols>
    <col min="12" max="12" width="13.21875" bestFit="1" customWidth="1"/>
  </cols>
  <sheetData>
    <row r="1" spans="1:10" x14ac:dyDescent="0.3">
      <c r="A1" t="s">
        <v>28</v>
      </c>
    </row>
    <row r="2" spans="1:10" x14ac:dyDescent="0.3">
      <c r="A2" t="s">
        <v>9</v>
      </c>
      <c r="B2" t="s">
        <v>63</v>
      </c>
      <c r="C2" t="s">
        <v>64</v>
      </c>
      <c r="D2" t="s">
        <v>31</v>
      </c>
      <c r="E2" t="s">
        <v>46</v>
      </c>
      <c r="F2" t="s">
        <v>62</v>
      </c>
      <c r="G2" t="s">
        <v>60</v>
      </c>
      <c r="H2" t="s">
        <v>61</v>
      </c>
    </row>
    <row r="3" spans="1:10" x14ac:dyDescent="0.3">
      <c r="A3">
        <v>1</v>
      </c>
      <c r="B3">
        <v>1</v>
      </c>
      <c r="C3">
        <v>2</v>
      </c>
      <c r="D3" t="s">
        <v>32</v>
      </c>
      <c r="E3">
        <v>1</v>
      </c>
      <c r="F3">
        <v>1</v>
      </c>
      <c r="G3">
        <v>1</v>
      </c>
      <c r="H3">
        <v>1</v>
      </c>
    </row>
    <row r="4" spans="1:10" x14ac:dyDescent="0.3">
      <c r="A4">
        <v>2</v>
      </c>
      <c r="B4">
        <v>1</v>
      </c>
      <c r="C4">
        <v>3</v>
      </c>
      <c r="D4" t="s">
        <v>32</v>
      </c>
      <c r="E4">
        <v>1</v>
      </c>
      <c r="F4">
        <v>1</v>
      </c>
      <c r="G4">
        <v>1</v>
      </c>
      <c r="H4">
        <v>1</v>
      </c>
    </row>
    <row r="5" spans="1:10" x14ac:dyDescent="0.3">
      <c r="A5">
        <v>3</v>
      </c>
      <c r="B5">
        <v>1</v>
      </c>
      <c r="C5">
        <v>3</v>
      </c>
      <c r="D5" t="s">
        <v>32</v>
      </c>
      <c r="E5">
        <v>1</v>
      </c>
      <c r="F5">
        <v>1</v>
      </c>
      <c r="G5">
        <v>1</v>
      </c>
      <c r="H5">
        <v>0</v>
      </c>
    </row>
    <row r="6" spans="1:10" x14ac:dyDescent="0.3">
      <c r="A6">
        <v>4</v>
      </c>
      <c r="B6">
        <v>1</v>
      </c>
      <c r="C6">
        <v>2</v>
      </c>
      <c r="D6" t="s">
        <v>32</v>
      </c>
      <c r="E6">
        <v>1</v>
      </c>
      <c r="F6">
        <v>1</v>
      </c>
      <c r="G6">
        <v>1</v>
      </c>
      <c r="H6">
        <v>1</v>
      </c>
    </row>
    <row r="7" spans="1:10" x14ac:dyDescent="0.3">
      <c r="A7">
        <v>5</v>
      </c>
      <c r="B7">
        <v>1</v>
      </c>
      <c r="C7">
        <v>3</v>
      </c>
      <c r="D7" t="s">
        <v>32</v>
      </c>
      <c r="E7">
        <v>1</v>
      </c>
      <c r="F7">
        <v>1</v>
      </c>
      <c r="G7">
        <v>1</v>
      </c>
      <c r="H7">
        <v>1</v>
      </c>
    </row>
    <row r="8" spans="1:10" x14ac:dyDescent="0.3">
      <c r="A8">
        <v>6</v>
      </c>
      <c r="B8">
        <v>1</v>
      </c>
      <c r="C8">
        <v>2</v>
      </c>
      <c r="D8" t="s">
        <v>32</v>
      </c>
      <c r="E8">
        <v>1</v>
      </c>
      <c r="F8">
        <v>1</v>
      </c>
      <c r="G8">
        <v>1</v>
      </c>
      <c r="H8">
        <v>1</v>
      </c>
    </row>
    <row r="9" spans="1:10" x14ac:dyDescent="0.3">
      <c r="A9">
        <v>7</v>
      </c>
      <c r="B9">
        <v>1</v>
      </c>
      <c r="C9">
        <v>4</v>
      </c>
      <c r="D9" t="s">
        <v>33</v>
      </c>
      <c r="E9">
        <v>1</v>
      </c>
      <c r="F9">
        <v>1</v>
      </c>
      <c r="G9">
        <v>1</v>
      </c>
      <c r="H9">
        <v>0</v>
      </c>
    </row>
    <row r="10" spans="1:10" x14ac:dyDescent="0.3">
      <c r="A10">
        <v>8</v>
      </c>
      <c r="B10">
        <v>1</v>
      </c>
      <c r="C10">
        <v>3</v>
      </c>
      <c r="D10" t="s">
        <v>33</v>
      </c>
      <c r="E10">
        <v>1</v>
      </c>
      <c r="F10">
        <v>1</v>
      </c>
      <c r="G10">
        <v>1</v>
      </c>
      <c r="H10">
        <v>1</v>
      </c>
    </row>
    <row r="11" spans="1:10" x14ac:dyDescent="0.3">
      <c r="A11">
        <v>9</v>
      </c>
      <c r="B11">
        <v>1</v>
      </c>
      <c r="C11">
        <v>4</v>
      </c>
      <c r="D11" t="s">
        <v>33</v>
      </c>
      <c r="E11">
        <v>1</v>
      </c>
      <c r="F11">
        <v>1</v>
      </c>
      <c r="G11">
        <v>1</v>
      </c>
      <c r="H11">
        <v>1</v>
      </c>
    </row>
    <row r="12" spans="1:10" x14ac:dyDescent="0.3">
      <c r="A12">
        <v>10</v>
      </c>
      <c r="B12">
        <v>1</v>
      </c>
      <c r="C12">
        <v>4</v>
      </c>
      <c r="D12" t="s">
        <v>33</v>
      </c>
      <c r="E12">
        <v>1</v>
      </c>
      <c r="F12">
        <v>1</v>
      </c>
      <c r="G12">
        <v>1</v>
      </c>
      <c r="H12">
        <v>0</v>
      </c>
    </row>
    <row r="13" spans="1:10" x14ac:dyDescent="0.3">
      <c r="A13" t="s">
        <v>119</v>
      </c>
      <c r="B13">
        <f>SUM(B3:B12)/COUNTA(B3:B12)*100</f>
        <v>100</v>
      </c>
      <c r="C13">
        <f>AVERAGE(C3:C12)</f>
        <v>3</v>
      </c>
      <c r="E13">
        <f t="shared" ref="E13" si="0">SUM(E3:E12)/COUNTA(E3:E12)*100</f>
        <v>100</v>
      </c>
      <c r="F13">
        <f t="shared" ref="F13" si="1">SUM(F3:F12)/COUNTA(F3:F12)*100</f>
        <v>100</v>
      </c>
      <c r="G13">
        <f t="shared" ref="G13" si="2">SUM(G3:G12)/COUNTA(G3:G12)*100</f>
        <v>100</v>
      </c>
      <c r="H13">
        <f t="shared" ref="H13" si="3">SUM(H3:H12)/COUNTA(H3:H12)*100</f>
        <v>70</v>
      </c>
      <c r="I13">
        <f>(B13*E13*F13*G13*H13)/(10^8)</f>
        <v>70</v>
      </c>
      <c r="J13" t="s">
        <v>59</v>
      </c>
    </row>
    <row r="15" spans="1:10" x14ac:dyDescent="0.3">
      <c r="A15" t="s">
        <v>121</v>
      </c>
      <c r="B15" s="4">
        <v>0.47058823529411764</v>
      </c>
    </row>
    <row r="16" spans="1:10" x14ac:dyDescent="0.3">
      <c r="A16" s="1" t="s">
        <v>120</v>
      </c>
      <c r="B16" s="6">
        <f>B15*I13</f>
        <v>32.941176470588232</v>
      </c>
    </row>
    <row r="50" spans="1:5" x14ac:dyDescent="0.3">
      <c r="A50" t="s">
        <v>41</v>
      </c>
      <c r="C50" t="s">
        <v>58</v>
      </c>
      <c r="D50" s="8" t="e">
        <f>SUM(C35:C44)/COUNTA(B35:B44)</f>
        <v>#DIV/0!</v>
      </c>
    </row>
    <row r="51" spans="1:5" x14ac:dyDescent="0.3">
      <c r="A51" t="s">
        <v>42</v>
      </c>
      <c r="D51" s="7" t="e">
        <f xml:space="preserve"> D50*100</f>
        <v>#DIV/0!</v>
      </c>
      <c r="E51" t="s">
        <v>59</v>
      </c>
    </row>
    <row r="52" spans="1:5" x14ac:dyDescent="0.3">
      <c r="A52" t="s">
        <v>43</v>
      </c>
    </row>
    <row r="53" spans="1:5" x14ac:dyDescent="0.3">
      <c r="A53" t="s">
        <v>44</v>
      </c>
    </row>
    <row r="54" spans="1:5" x14ac:dyDescent="0.3">
      <c r="A54" t="s">
        <v>45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88FA-CE0E-414A-B0A2-7E8AE2BDA4EE}">
  <dimension ref="A1:O27"/>
  <sheetViews>
    <sheetView workbookViewId="0">
      <selection activeCell="P11" sqref="P11"/>
    </sheetView>
  </sheetViews>
  <sheetFormatPr baseColWidth="10" defaultRowHeight="14.4" x14ac:dyDescent="0.3"/>
  <cols>
    <col min="1" max="1" width="13.88671875" customWidth="1"/>
    <col min="2" max="2" width="12.6640625" bestFit="1" customWidth="1"/>
    <col min="3" max="4" width="12.33203125" bestFit="1" customWidth="1"/>
    <col min="10" max="10" width="12.6640625" bestFit="1" customWidth="1"/>
  </cols>
  <sheetData>
    <row r="1" spans="1:15" x14ac:dyDescent="0.3">
      <c r="A1" s="1" t="s">
        <v>2</v>
      </c>
      <c r="B1" t="s">
        <v>8</v>
      </c>
      <c r="D1" t="s">
        <v>8</v>
      </c>
      <c r="F1" t="s">
        <v>8</v>
      </c>
      <c r="J1" t="s">
        <v>8</v>
      </c>
      <c r="L1" t="s">
        <v>8</v>
      </c>
      <c r="N1" t="s">
        <v>8</v>
      </c>
    </row>
    <row r="2" spans="1:15" x14ac:dyDescent="0.3">
      <c r="B2" t="s">
        <v>7</v>
      </c>
      <c r="D2" t="s">
        <v>7</v>
      </c>
      <c r="F2" t="s">
        <v>7</v>
      </c>
      <c r="J2" t="s">
        <v>7</v>
      </c>
      <c r="L2" t="s">
        <v>7</v>
      </c>
      <c r="N2" t="s">
        <v>7</v>
      </c>
    </row>
    <row r="4" spans="1:15" x14ac:dyDescent="0.3">
      <c r="A4" s="11" t="s">
        <v>3</v>
      </c>
      <c r="B4" s="11" t="s">
        <v>4</v>
      </c>
      <c r="C4" s="11" t="s">
        <v>10</v>
      </c>
      <c r="D4" s="11" t="s">
        <v>5</v>
      </c>
      <c r="E4" s="11" t="s">
        <v>10</v>
      </c>
      <c r="F4" s="11" t="s">
        <v>6</v>
      </c>
      <c r="G4" s="11" t="s">
        <v>10</v>
      </c>
      <c r="I4" s="12" t="s">
        <v>65</v>
      </c>
      <c r="J4" s="13" t="s">
        <v>4</v>
      </c>
      <c r="K4" s="13" t="s">
        <v>10</v>
      </c>
      <c r="L4" s="13" t="s">
        <v>66</v>
      </c>
      <c r="M4" s="13" t="s">
        <v>10</v>
      </c>
      <c r="N4" s="13" t="s">
        <v>6</v>
      </c>
      <c r="O4" s="13" t="s">
        <v>10</v>
      </c>
    </row>
    <row r="5" spans="1:15" x14ac:dyDescent="0.3">
      <c r="A5" s="11" t="s">
        <v>9</v>
      </c>
      <c r="B5" s="11"/>
      <c r="C5" s="11"/>
      <c r="D5" s="11"/>
      <c r="E5" s="11"/>
      <c r="F5" s="11"/>
      <c r="G5" s="11"/>
      <c r="I5" s="13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</row>
    <row r="6" spans="1:15" x14ac:dyDescent="0.3">
      <c r="A6" s="11">
        <v>1</v>
      </c>
      <c r="B6" s="11">
        <v>1</v>
      </c>
      <c r="C6" s="11">
        <v>3</v>
      </c>
      <c r="D6" s="11">
        <v>1</v>
      </c>
      <c r="E6" s="11">
        <v>3</v>
      </c>
      <c r="F6" s="11">
        <v>1</v>
      </c>
      <c r="G6" s="11">
        <v>1</v>
      </c>
      <c r="I6" s="13">
        <v>2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</row>
    <row r="7" spans="1:15" x14ac:dyDescent="0.3">
      <c r="A7" s="11">
        <v>2</v>
      </c>
      <c r="B7" s="11">
        <v>1</v>
      </c>
      <c r="C7" s="11">
        <v>3</v>
      </c>
      <c r="D7" s="11">
        <v>1</v>
      </c>
      <c r="E7" s="11">
        <v>1</v>
      </c>
      <c r="F7" s="11">
        <v>1</v>
      </c>
      <c r="G7" s="11">
        <v>1</v>
      </c>
      <c r="I7" s="13">
        <v>3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2</v>
      </c>
    </row>
    <row r="8" spans="1:15" x14ac:dyDescent="0.3">
      <c r="A8" s="11">
        <v>3</v>
      </c>
      <c r="B8" s="11">
        <v>1</v>
      </c>
      <c r="C8" s="11">
        <v>3</v>
      </c>
      <c r="D8" s="11">
        <v>1</v>
      </c>
      <c r="E8" s="11">
        <v>1</v>
      </c>
      <c r="F8" s="11">
        <v>1</v>
      </c>
      <c r="G8" s="11">
        <v>3</v>
      </c>
      <c r="I8" s="13">
        <v>4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</row>
    <row r="9" spans="1:15" x14ac:dyDescent="0.3">
      <c r="A9" s="11">
        <v>4</v>
      </c>
      <c r="B9" s="11">
        <v>1</v>
      </c>
      <c r="C9" s="11">
        <v>3</v>
      </c>
      <c r="D9" s="11">
        <v>1</v>
      </c>
      <c r="E9" s="11">
        <v>1</v>
      </c>
      <c r="F9" s="11">
        <v>1</v>
      </c>
      <c r="G9" s="11">
        <v>1</v>
      </c>
      <c r="I9" s="13">
        <v>5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</row>
    <row r="10" spans="1:15" x14ac:dyDescent="0.3">
      <c r="A10" s="11">
        <v>5</v>
      </c>
      <c r="B10" s="11">
        <v>1</v>
      </c>
      <c r="C10" s="11">
        <v>3</v>
      </c>
      <c r="D10" s="11">
        <v>1</v>
      </c>
      <c r="E10" s="11">
        <v>1</v>
      </c>
      <c r="F10" s="11">
        <v>1</v>
      </c>
      <c r="G10" s="11">
        <v>2</v>
      </c>
      <c r="I10" s="13">
        <v>6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</row>
    <row r="11" spans="1:15" x14ac:dyDescent="0.3">
      <c r="A11" s="11">
        <v>6</v>
      </c>
      <c r="B11" s="11">
        <v>1</v>
      </c>
      <c r="C11" s="11">
        <v>3</v>
      </c>
      <c r="D11" s="11">
        <v>1</v>
      </c>
      <c r="E11" s="11">
        <v>1</v>
      </c>
      <c r="F11" s="11">
        <v>1</v>
      </c>
      <c r="G11" s="11">
        <v>1</v>
      </c>
      <c r="I11" s="13">
        <v>7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</row>
    <row r="12" spans="1:15" x14ac:dyDescent="0.3">
      <c r="A12" s="11">
        <v>7</v>
      </c>
      <c r="B12" s="11">
        <v>1</v>
      </c>
      <c r="C12" s="11">
        <v>4</v>
      </c>
      <c r="D12" s="11">
        <v>1</v>
      </c>
      <c r="E12" s="11">
        <v>1</v>
      </c>
      <c r="F12" s="11">
        <v>1</v>
      </c>
      <c r="G12" s="11">
        <v>2</v>
      </c>
      <c r="I12" s="13">
        <v>8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1</v>
      </c>
    </row>
    <row r="13" spans="1:15" x14ac:dyDescent="0.3">
      <c r="A13" s="11">
        <v>8</v>
      </c>
      <c r="B13" s="11">
        <v>1</v>
      </c>
      <c r="C13" s="11">
        <v>2</v>
      </c>
      <c r="D13" s="11">
        <v>1</v>
      </c>
      <c r="E13" s="11">
        <v>1</v>
      </c>
      <c r="F13" s="11">
        <v>1</v>
      </c>
      <c r="G13" s="11">
        <v>3</v>
      </c>
      <c r="I13" s="13">
        <v>9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</row>
    <row r="14" spans="1:15" x14ac:dyDescent="0.3">
      <c r="A14" s="11">
        <v>9</v>
      </c>
      <c r="B14" s="11">
        <v>1</v>
      </c>
      <c r="C14" s="11">
        <v>2</v>
      </c>
      <c r="D14" s="11">
        <v>1</v>
      </c>
      <c r="E14" s="11">
        <v>1</v>
      </c>
      <c r="F14" s="11">
        <v>1</v>
      </c>
      <c r="G14" s="11">
        <v>2</v>
      </c>
      <c r="I14" s="13">
        <v>10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</row>
    <row r="15" spans="1:15" x14ac:dyDescent="0.3">
      <c r="A15" s="11">
        <v>10</v>
      </c>
      <c r="B15" s="11">
        <v>1</v>
      </c>
      <c r="C15" s="11">
        <v>3</v>
      </c>
      <c r="D15" s="11">
        <v>1</v>
      </c>
      <c r="E15" s="11">
        <v>1</v>
      </c>
      <c r="F15" s="11">
        <v>1</v>
      </c>
      <c r="G15" s="11">
        <v>4</v>
      </c>
      <c r="I15" s="13">
        <v>11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</row>
    <row r="16" spans="1:15" x14ac:dyDescent="0.3">
      <c r="A16" s="11">
        <v>11</v>
      </c>
      <c r="B16" s="11">
        <v>1</v>
      </c>
      <c r="C16" s="11">
        <v>3</v>
      </c>
      <c r="D16" s="11">
        <v>1</v>
      </c>
      <c r="E16" s="11">
        <v>1</v>
      </c>
      <c r="F16" s="11">
        <v>1</v>
      </c>
      <c r="G16" s="11">
        <v>1</v>
      </c>
      <c r="I16" s="13">
        <v>12</v>
      </c>
      <c r="J16" s="14">
        <v>1</v>
      </c>
      <c r="K16" s="14">
        <v>2</v>
      </c>
      <c r="L16" s="14">
        <v>1</v>
      </c>
      <c r="M16" s="14">
        <v>1</v>
      </c>
      <c r="N16" s="14">
        <v>1</v>
      </c>
      <c r="O16" s="14">
        <v>1</v>
      </c>
    </row>
    <row r="17" spans="1:15" x14ac:dyDescent="0.3">
      <c r="A17" s="11">
        <v>12</v>
      </c>
      <c r="B17" s="11">
        <v>1</v>
      </c>
      <c r="C17" s="11">
        <v>3</v>
      </c>
      <c r="D17" s="11">
        <v>1</v>
      </c>
      <c r="E17" s="11">
        <v>1</v>
      </c>
      <c r="F17" s="11">
        <v>1</v>
      </c>
      <c r="G17" s="11">
        <v>1</v>
      </c>
      <c r="I17" s="13">
        <v>13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2</v>
      </c>
    </row>
    <row r="18" spans="1:15" x14ac:dyDescent="0.3">
      <c r="A18" s="11">
        <v>13</v>
      </c>
      <c r="B18" s="11">
        <v>1</v>
      </c>
      <c r="C18" s="11">
        <v>3</v>
      </c>
      <c r="D18" s="11">
        <v>1</v>
      </c>
      <c r="E18" s="11">
        <v>1</v>
      </c>
      <c r="F18" s="11">
        <v>1</v>
      </c>
      <c r="G18" s="11">
        <v>1</v>
      </c>
      <c r="I18" s="13">
        <v>14</v>
      </c>
      <c r="J18" s="14">
        <v>1</v>
      </c>
      <c r="K18" s="14">
        <v>1</v>
      </c>
      <c r="L18" s="14">
        <v>1</v>
      </c>
      <c r="M18" s="14">
        <v>1</v>
      </c>
      <c r="N18" s="14">
        <v>1</v>
      </c>
      <c r="O18" s="14">
        <v>1</v>
      </c>
    </row>
    <row r="19" spans="1:15" x14ac:dyDescent="0.3">
      <c r="A19" s="11">
        <v>14</v>
      </c>
      <c r="B19" s="11">
        <v>1</v>
      </c>
      <c r="C19" s="11">
        <v>2</v>
      </c>
      <c r="D19" s="11">
        <v>1</v>
      </c>
      <c r="E19" s="11">
        <v>1</v>
      </c>
      <c r="F19" s="11">
        <v>1</v>
      </c>
      <c r="G19" s="11">
        <v>3</v>
      </c>
      <c r="I19" s="13">
        <v>15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</row>
    <row r="20" spans="1:15" x14ac:dyDescent="0.3">
      <c r="A20" s="11">
        <v>15</v>
      </c>
      <c r="B20" s="11">
        <v>1</v>
      </c>
      <c r="C20" s="11">
        <v>3</v>
      </c>
      <c r="D20" s="11">
        <v>1</v>
      </c>
      <c r="E20" s="11">
        <v>1</v>
      </c>
      <c r="F20" s="11">
        <v>1</v>
      </c>
      <c r="G20" s="11">
        <v>1</v>
      </c>
      <c r="I20" s="13">
        <v>16</v>
      </c>
      <c r="J20" s="14">
        <v>1</v>
      </c>
      <c r="K20" s="14">
        <v>1</v>
      </c>
      <c r="L20" s="14">
        <v>1</v>
      </c>
      <c r="M20" s="14">
        <v>1</v>
      </c>
      <c r="N20" s="14">
        <v>1</v>
      </c>
      <c r="O20" s="14">
        <v>1</v>
      </c>
    </row>
    <row r="21" spans="1:15" x14ac:dyDescent="0.3">
      <c r="A21" s="11">
        <v>16</v>
      </c>
      <c r="B21" s="11">
        <v>1</v>
      </c>
      <c r="C21" s="11">
        <v>3</v>
      </c>
      <c r="D21" s="11">
        <v>1</v>
      </c>
      <c r="E21" s="11">
        <v>1</v>
      </c>
      <c r="F21" s="11">
        <v>1</v>
      </c>
      <c r="G21" s="11">
        <v>2</v>
      </c>
      <c r="I21" s="13">
        <v>17</v>
      </c>
      <c r="J21" s="14">
        <v>1</v>
      </c>
      <c r="K21" s="14">
        <v>1</v>
      </c>
      <c r="L21" s="14">
        <v>1</v>
      </c>
      <c r="M21" s="14">
        <v>1</v>
      </c>
      <c r="N21" s="14">
        <v>1</v>
      </c>
      <c r="O21" s="14">
        <v>1</v>
      </c>
    </row>
    <row r="22" spans="1:15" x14ac:dyDescent="0.3">
      <c r="A22" s="11">
        <v>17</v>
      </c>
      <c r="B22" s="11">
        <v>1</v>
      </c>
      <c r="C22" s="11">
        <v>3</v>
      </c>
      <c r="D22" s="11">
        <v>1</v>
      </c>
      <c r="E22" s="11">
        <v>1</v>
      </c>
      <c r="F22" s="11">
        <v>1</v>
      </c>
      <c r="G22" s="11">
        <v>2</v>
      </c>
      <c r="I22" s="13">
        <v>18</v>
      </c>
      <c r="J22" s="14">
        <v>1</v>
      </c>
      <c r="K22" s="14">
        <v>1</v>
      </c>
      <c r="L22" s="14">
        <v>1</v>
      </c>
      <c r="M22" s="14">
        <v>1</v>
      </c>
      <c r="N22" s="14">
        <v>1</v>
      </c>
      <c r="O22" s="14">
        <v>1</v>
      </c>
    </row>
    <row r="23" spans="1:15" x14ac:dyDescent="0.3">
      <c r="A23" s="11">
        <v>18</v>
      </c>
      <c r="B23" s="11">
        <v>1</v>
      </c>
      <c r="C23" s="11">
        <v>2</v>
      </c>
      <c r="D23" s="11">
        <v>1</v>
      </c>
      <c r="E23" s="11">
        <v>1</v>
      </c>
      <c r="F23" s="11">
        <v>1</v>
      </c>
      <c r="G23" s="11">
        <v>1</v>
      </c>
      <c r="I23" s="13">
        <v>19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</row>
    <row r="24" spans="1:15" x14ac:dyDescent="0.3">
      <c r="A24" s="11">
        <v>19</v>
      </c>
      <c r="B24" s="11">
        <v>1</v>
      </c>
      <c r="C24" s="11">
        <v>3</v>
      </c>
      <c r="D24" s="11">
        <v>1</v>
      </c>
      <c r="E24" s="11">
        <v>1</v>
      </c>
      <c r="F24" s="11">
        <v>1</v>
      </c>
      <c r="G24" s="11">
        <v>2</v>
      </c>
      <c r="I24" s="13">
        <v>20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</row>
    <row r="25" spans="1:15" x14ac:dyDescent="0.3">
      <c r="A25" s="11">
        <v>20</v>
      </c>
      <c r="B25" s="11">
        <v>1</v>
      </c>
      <c r="C25" s="11">
        <v>3</v>
      </c>
      <c r="D25" s="11">
        <v>1</v>
      </c>
      <c r="E25" s="11">
        <v>1</v>
      </c>
      <c r="F25" s="11">
        <v>1</v>
      </c>
      <c r="G25" s="11">
        <v>1</v>
      </c>
      <c r="I25" s="12" t="s">
        <v>11</v>
      </c>
      <c r="J25" s="14"/>
      <c r="K25" s="14">
        <f>SUM(K5:K24)/COUNT(K5:K24)</f>
        <v>1.05</v>
      </c>
      <c r="L25" s="14"/>
      <c r="M25" s="14">
        <f>SUM(M5:M24)/COUNT(M5:M24)</f>
        <v>1</v>
      </c>
      <c r="N25" s="14"/>
      <c r="O25" s="14">
        <f>SUM(O5:O24)/COUNT(O5:O24)</f>
        <v>1.1000000000000001</v>
      </c>
    </row>
    <row r="26" spans="1:15" x14ac:dyDescent="0.3">
      <c r="A26" s="2" t="s">
        <v>11</v>
      </c>
      <c r="B26" s="3">
        <f>SUM(B6:B25)/COUNT(B6:B25)</f>
        <v>1</v>
      </c>
      <c r="C26" s="3">
        <f t="shared" ref="C26:G26" si="0">SUM(C6:C25)/COUNT(C6:C25)</f>
        <v>2.85</v>
      </c>
      <c r="D26" s="3">
        <f t="shared" si="0"/>
        <v>1</v>
      </c>
      <c r="E26" s="3">
        <f t="shared" si="0"/>
        <v>1.1000000000000001</v>
      </c>
      <c r="F26" s="3">
        <f t="shared" si="0"/>
        <v>1</v>
      </c>
      <c r="G26" s="3">
        <f t="shared" si="0"/>
        <v>1.75</v>
      </c>
      <c r="I26" s="12" t="s">
        <v>12</v>
      </c>
      <c r="J26" s="14"/>
      <c r="K26" s="14">
        <f>_xlfn.STDEV.S(K5:K24)</f>
        <v>0.22360679774997888</v>
      </c>
      <c r="L26" s="14"/>
      <c r="M26" s="15">
        <f>_xlfn.STDEV.S(M5:M24)</f>
        <v>0</v>
      </c>
      <c r="N26" s="14"/>
      <c r="O26" s="15">
        <f>_xlfn.STDEV.S(O5:O24)</f>
        <v>0.3077935056255463</v>
      </c>
    </row>
    <row r="27" spans="1:15" x14ac:dyDescent="0.3">
      <c r="A27" s="1" t="s">
        <v>12</v>
      </c>
      <c r="B27">
        <f>_xlfn.STDEV.S(B6:B25)</f>
        <v>0</v>
      </c>
      <c r="C27" s="4">
        <f t="shared" ref="C27:G27" si="1">_xlfn.STDEV.S(C6:C25)</f>
        <v>0.4893604849295935</v>
      </c>
      <c r="D27" s="4">
        <f t="shared" si="1"/>
        <v>0</v>
      </c>
      <c r="E27" s="4">
        <f t="shared" si="1"/>
        <v>0.44721359549995798</v>
      </c>
      <c r="F27" s="4">
        <f t="shared" si="1"/>
        <v>0</v>
      </c>
      <c r="G27" s="4">
        <f t="shared" si="1"/>
        <v>0.91046546800032602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CEED4-571E-48A5-9D77-DAE9FDC1C5A1}">
  <dimension ref="A1:E23"/>
  <sheetViews>
    <sheetView workbookViewId="0">
      <selection activeCell="C23" sqref="C23"/>
    </sheetView>
  </sheetViews>
  <sheetFormatPr baseColWidth="10" defaultRowHeight="14.4" x14ac:dyDescent="0.3"/>
  <sheetData>
    <row r="1" spans="1:5" x14ac:dyDescent="0.3">
      <c r="A1" s="1" t="s">
        <v>117</v>
      </c>
    </row>
    <row r="3" spans="1:5" x14ac:dyDescent="0.3">
      <c r="A3" t="s">
        <v>9</v>
      </c>
      <c r="B3" t="s">
        <v>67</v>
      </c>
      <c r="C3" t="s">
        <v>30</v>
      </c>
      <c r="D3" t="s">
        <v>68</v>
      </c>
      <c r="E3" t="s">
        <v>69</v>
      </c>
    </row>
    <row r="4" spans="1:5" x14ac:dyDescent="0.3">
      <c r="A4">
        <v>1</v>
      </c>
      <c r="B4">
        <v>5</v>
      </c>
      <c r="C4">
        <v>1</v>
      </c>
      <c r="D4">
        <v>3</v>
      </c>
    </row>
    <row r="5" spans="1:5" x14ac:dyDescent="0.3">
      <c r="A5">
        <v>2</v>
      </c>
      <c r="B5">
        <v>5</v>
      </c>
      <c r="C5">
        <v>0</v>
      </c>
      <c r="D5">
        <v>5</v>
      </c>
      <c r="E5" t="s">
        <v>71</v>
      </c>
    </row>
    <row r="6" spans="1:5" x14ac:dyDescent="0.3">
      <c r="A6">
        <v>3</v>
      </c>
      <c r="B6">
        <v>5</v>
      </c>
      <c r="C6">
        <v>1</v>
      </c>
      <c r="D6">
        <v>4</v>
      </c>
    </row>
    <row r="7" spans="1:5" x14ac:dyDescent="0.3">
      <c r="A7">
        <v>4</v>
      </c>
      <c r="B7">
        <v>5</v>
      </c>
      <c r="C7">
        <v>1</v>
      </c>
      <c r="D7">
        <v>3</v>
      </c>
    </row>
    <row r="8" spans="1:5" x14ac:dyDescent="0.3">
      <c r="A8">
        <v>5</v>
      </c>
      <c r="B8">
        <v>5</v>
      </c>
      <c r="C8">
        <v>0</v>
      </c>
      <c r="D8">
        <v>5</v>
      </c>
      <c r="E8" t="s">
        <v>70</v>
      </c>
    </row>
    <row r="9" spans="1:5" x14ac:dyDescent="0.3">
      <c r="A9">
        <v>6</v>
      </c>
      <c r="B9">
        <v>3</v>
      </c>
      <c r="C9">
        <v>0</v>
      </c>
      <c r="D9">
        <v>5</v>
      </c>
      <c r="E9" t="s">
        <v>70</v>
      </c>
    </row>
    <row r="10" spans="1:5" x14ac:dyDescent="0.3">
      <c r="A10">
        <v>7</v>
      </c>
      <c r="B10">
        <v>3</v>
      </c>
      <c r="C10">
        <v>1</v>
      </c>
      <c r="D10">
        <v>2</v>
      </c>
    </row>
    <row r="11" spans="1:5" x14ac:dyDescent="0.3">
      <c r="A11">
        <v>8</v>
      </c>
      <c r="B11">
        <v>3</v>
      </c>
      <c r="C11">
        <v>1</v>
      </c>
      <c r="D11">
        <v>4</v>
      </c>
    </row>
    <row r="12" spans="1:5" x14ac:dyDescent="0.3">
      <c r="A12">
        <v>9</v>
      </c>
      <c r="B12">
        <v>3</v>
      </c>
      <c r="C12">
        <v>0</v>
      </c>
      <c r="D12">
        <v>5</v>
      </c>
      <c r="E12" t="s">
        <v>70</v>
      </c>
    </row>
    <row r="13" spans="1:5" x14ac:dyDescent="0.3">
      <c r="A13">
        <v>10</v>
      </c>
      <c r="B13">
        <v>3</v>
      </c>
      <c r="C13">
        <v>1</v>
      </c>
      <c r="D13">
        <v>3</v>
      </c>
    </row>
    <row r="14" spans="1:5" x14ac:dyDescent="0.3">
      <c r="A14">
        <v>11</v>
      </c>
      <c r="B14">
        <v>2</v>
      </c>
      <c r="C14">
        <v>0</v>
      </c>
      <c r="D14">
        <v>5</v>
      </c>
      <c r="E14" t="s">
        <v>70</v>
      </c>
    </row>
    <row r="15" spans="1:5" x14ac:dyDescent="0.3">
      <c r="A15">
        <v>12</v>
      </c>
      <c r="B15">
        <v>2</v>
      </c>
      <c r="C15">
        <v>0</v>
      </c>
      <c r="D15">
        <v>5</v>
      </c>
      <c r="E15" t="s">
        <v>70</v>
      </c>
    </row>
    <row r="16" spans="1:5" x14ac:dyDescent="0.3">
      <c r="A16">
        <v>13</v>
      </c>
      <c r="B16">
        <v>2</v>
      </c>
      <c r="C16">
        <v>1</v>
      </c>
      <c r="D16">
        <v>2</v>
      </c>
    </row>
    <row r="17" spans="1:5" x14ac:dyDescent="0.3">
      <c r="A17">
        <v>14</v>
      </c>
      <c r="B17">
        <v>4</v>
      </c>
      <c r="C17">
        <v>1</v>
      </c>
      <c r="D17">
        <v>3</v>
      </c>
    </row>
    <row r="18" spans="1:5" x14ac:dyDescent="0.3">
      <c r="A18">
        <v>15</v>
      </c>
      <c r="B18">
        <v>4</v>
      </c>
      <c r="C18">
        <v>0</v>
      </c>
      <c r="D18">
        <v>5</v>
      </c>
      <c r="E18" t="s">
        <v>70</v>
      </c>
    </row>
    <row r="19" spans="1:5" x14ac:dyDescent="0.3">
      <c r="A19">
        <v>16</v>
      </c>
      <c r="B19">
        <v>4</v>
      </c>
      <c r="C19">
        <v>0</v>
      </c>
      <c r="D19">
        <v>5</v>
      </c>
      <c r="E19" t="s">
        <v>70</v>
      </c>
    </row>
    <row r="20" spans="1:5" x14ac:dyDescent="0.3">
      <c r="A20">
        <v>17</v>
      </c>
      <c r="B20">
        <v>4</v>
      </c>
      <c r="C20">
        <v>0</v>
      </c>
      <c r="D20">
        <v>5</v>
      </c>
      <c r="E20" t="s">
        <v>70</v>
      </c>
    </row>
    <row r="21" spans="1:5" x14ac:dyDescent="0.3">
      <c r="A21">
        <v>18</v>
      </c>
    </row>
    <row r="22" spans="1:5" x14ac:dyDescent="0.3">
      <c r="A22">
        <v>19</v>
      </c>
    </row>
    <row r="23" spans="1:5" x14ac:dyDescent="0.3">
      <c r="A23" t="s">
        <v>72</v>
      </c>
      <c r="C23">
        <f>SUM(C4:C22)/COUNT(B4:B22)</f>
        <v>0.47058823529411764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433A-1F05-43D3-932C-AC7BC0119D98}">
  <dimension ref="A1:T46"/>
  <sheetViews>
    <sheetView zoomScale="98" workbookViewId="0">
      <selection activeCell="N10" sqref="N10"/>
    </sheetView>
  </sheetViews>
  <sheetFormatPr baseColWidth="10" defaultRowHeight="14.4" x14ac:dyDescent="0.3"/>
  <cols>
    <col min="1" max="1" width="21" bestFit="1" customWidth="1"/>
    <col min="3" max="3" width="12.21875" bestFit="1" customWidth="1"/>
    <col min="4" max="4" width="15.6640625" bestFit="1" customWidth="1"/>
    <col min="5" max="5" width="12.44140625" bestFit="1" customWidth="1"/>
    <col min="6" max="6" width="15.6640625" bestFit="1" customWidth="1"/>
    <col min="8" max="8" width="21.44140625" bestFit="1" customWidth="1"/>
    <col min="9" max="9" width="10.33203125" bestFit="1" customWidth="1"/>
    <col min="10" max="10" width="11.88671875" bestFit="1" customWidth="1"/>
    <col min="11" max="11" width="12.33203125" bestFit="1" customWidth="1"/>
    <col min="12" max="12" width="12.44140625" bestFit="1" customWidth="1"/>
  </cols>
  <sheetData>
    <row r="1" spans="1:20" x14ac:dyDescent="0.3">
      <c r="A1" s="1" t="s">
        <v>47</v>
      </c>
      <c r="B1" s="1"/>
      <c r="C1" s="1"/>
      <c r="H1" s="1"/>
      <c r="I1" s="1"/>
      <c r="J1" s="1"/>
      <c r="O1" s="1"/>
      <c r="P1" s="1"/>
      <c r="Q1" s="1"/>
    </row>
    <row r="2" spans="1:20" x14ac:dyDescent="0.3">
      <c r="A2" s="1" t="s">
        <v>9</v>
      </c>
      <c r="B2" s="1" t="s">
        <v>13</v>
      </c>
      <c r="C2" s="1" t="s">
        <v>15</v>
      </c>
      <c r="D2" s="1" t="s">
        <v>16</v>
      </c>
      <c r="E2" s="1" t="s">
        <v>14</v>
      </c>
      <c r="F2" s="1"/>
      <c r="H2" s="1" t="s">
        <v>17</v>
      </c>
      <c r="M2" s="1"/>
      <c r="O2" s="1"/>
      <c r="P2" s="1"/>
      <c r="Q2" s="1"/>
      <c r="R2" s="1"/>
      <c r="S2" s="1"/>
      <c r="T2" s="1"/>
    </row>
    <row r="3" spans="1:20" x14ac:dyDescent="0.3">
      <c r="A3">
        <v>1</v>
      </c>
      <c r="B3">
        <v>1</v>
      </c>
      <c r="C3">
        <v>2600</v>
      </c>
      <c r="D3" s="4">
        <f>C3*9.81/1000</f>
        <v>25.506</v>
      </c>
      <c r="E3">
        <v>1</v>
      </c>
      <c r="H3" s="1" t="s">
        <v>9</v>
      </c>
      <c r="I3" s="1" t="s">
        <v>13</v>
      </c>
      <c r="J3" s="1" t="s">
        <v>15</v>
      </c>
      <c r="K3" s="1" t="s">
        <v>16</v>
      </c>
      <c r="L3" s="1" t="s">
        <v>14</v>
      </c>
      <c r="R3" s="4"/>
    </row>
    <row r="4" spans="1:20" x14ac:dyDescent="0.3">
      <c r="A4">
        <v>2</v>
      </c>
      <c r="B4">
        <v>1</v>
      </c>
      <c r="C4">
        <v>2680</v>
      </c>
      <c r="D4" s="4">
        <f t="shared" ref="D4:D32" si="0">C4*9.81/1000</f>
        <v>26.290800000000004</v>
      </c>
      <c r="E4">
        <v>1</v>
      </c>
      <c r="H4">
        <v>1</v>
      </c>
      <c r="I4">
        <v>1</v>
      </c>
      <c r="J4">
        <v>530</v>
      </c>
      <c r="K4" s="4">
        <f>J4*9.81/1000</f>
        <v>5.1993</v>
      </c>
      <c r="L4">
        <v>1</v>
      </c>
      <c r="R4" s="4"/>
    </row>
    <row r="5" spans="1:20" x14ac:dyDescent="0.3">
      <c r="A5">
        <v>3</v>
      </c>
      <c r="B5">
        <v>1</v>
      </c>
      <c r="C5">
        <v>2500</v>
      </c>
      <c r="D5" s="4">
        <f t="shared" si="0"/>
        <v>24.524999999999999</v>
      </c>
      <c r="E5">
        <v>1</v>
      </c>
      <c r="H5">
        <v>2</v>
      </c>
      <c r="I5">
        <v>1</v>
      </c>
      <c r="K5" s="4">
        <f t="shared" ref="K5:K43" si="1">J5*9.81/1000</f>
        <v>0</v>
      </c>
      <c r="R5" s="4"/>
    </row>
    <row r="6" spans="1:20" x14ac:dyDescent="0.3">
      <c r="A6">
        <v>4</v>
      </c>
      <c r="B6">
        <v>1</v>
      </c>
      <c r="C6">
        <v>2550</v>
      </c>
      <c r="D6" s="4">
        <f t="shared" si="0"/>
        <v>25.015499999999999</v>
      </c>
      <c r="E6">
        <v>1</v>
      </c>
      <c r="H6">
        <v>3</v>
      </c>
      <c r="I6">
        <v>1</v>
      </c>
      <c r="K6" s="4">
        <f t="shared" si="1"/>
        <v>0</v>
      </c>
      <c r="R6" s="4"/>
    </row>
    <row r="7" spans="1:20" x14ac:dyDescent="0.3">
      <c r="A7">
        <v>5</v>
      </c>
      <c r="B7">
        <v>1</v>
      </c>
      <c r="C7">
        <v>2400</v>
      </c>
      <c r="D7" s="4">
        <f t="shared" si="0"/>
        <v>23.544</v>
      </c>
      <c r="E7">
        <v>1</v>
      </c>
      <c r="H7">
        <v>4</v>
      </c>
      <c r="I7">
        <v>1</v>
      </c>
      <c r="K7" s="4">
        <f t="shared" si="1"/>
        <v>0</v>
      </c>
      <c r="R7" s="4"/>
    </row>
    <row r="8" spans="1:20" x14ac:dyDescent="0.3">
      <c r="A8">
        <v>6</v>
      </c>
      <c r="B8">
        <v>1</v>
      </c>
      <c r="C8">
        <v>2650</v>
      </c>
      <c r="D8" s="4">
        <f t="shared" si="0"/>
        <v>25.996500000000001</v>
      </c>
      <c r="E8">
        <v>1</v>
      </c>
      <c r="H8">
        <v>5</v>
      </c>
      <c r="I8">
        <v>1</v>
      </c>
      <c r="K8" s="4">
        <f t="shared" si="1"/>
        <v>0</v>
      </c>
      <c r="R8" s="4"/>
    </row>
    <row r="9" spans="1:20" x14ac:dyDescent="0.3">
      <c r="A9">
        <v>7</v>
      </c>
      <c r="B9">
        <v>1</v>
      </c>
      <c r="C9">
        <v>2900</v>
      </c>
      <c r="D9" s="4">
        <f t="shared" si="0"/>
        <v>28.449000000000002</v>
      </c>
      <c r="E9">
        <v>1</v>
      </c>
      <c r="H9">
        <v>6</v>
      </c>
      <c r="I9">
        <v>1</v>
      </c>
      <c r="K9" s="4">
        <f t="shared" si="1"/>
        <v>0</v>
      </c>
      <c r="R9" s="4"/>
    </row>
    <row r="10" spans="1:20" x14ac:dyDescent="0.3">
      <c r="A10">
        <v>8</v>
      </c>
      <c r="B10">
        <v>1</v>
      </c>
      <c r="C10">
        <v>2630</v>
      </c>
      <c r="D10" s="4">
        <f t="shared" si="0"/>
        <v>25.800300000000004</v>
      </c>
      <c r="E10">
        <v>1</v>
      </c>
      <c r="H10">
        <v>7</v>
      </c>
      <c r="I10">
        <v>1</v>
      </c>
      <c r="K10" s="4">
        <f t="shared" si="1"/>
        <v>0</v>
      </c>
      <c r="R10" s="4"/>
    </row>
    <row r="11" spans="1:20" x14ac:dyDescent="0.3">
      <c r="A11">
        <v>9</v>
      </c>
      <c r="B11">
        <v>1</v>
      </c>
      <c r="C11">
        <v>2800</v>
      </c>
      <c r="D11" s="4">
        <f t="shared" si="0"/>
        <v>27.468</v>
      </c>
      <c r="E11">
        <v>1</v>
      </c>
      <c r="H11">
        <v>8</v>
      </c>
      <c r="I11">
        <v>1</v>
      </c>
      <c r="K11" s="4">
        <f t="shared" si="1"/>
        <v>0</v>
      </c>
      <c r="R11" s="4"/>
    </row>
    <row r="12" spans="1:20" x14ac:dyDescent="0.3">
      <c r="A12">
        <v>10</v>
      </c>
      <c r="B12">
        <v>1</v>
      </c>
      <c r="C12">
        <v>2630</v>
      </c>
      <c r="D12" s="4">
        <f t="shared" si="0"/>
        <v>25.800300000000004</v>
      </c>
      <c r="E12">
        <v>1</v>
      </c>
      <c r="H12">
        <v>9</v>
      </c>
      <c r="I12">
        <v>1</v>
      </c>
      <c r="K12" s="4">
        <f t="shared" si="1"/>
        <v>0</v>
      </c>
      <c r="R12" s="4"/>
    </row>
    <row r="13" spans="1:20" x14ac:dyDescent="0.3">
      <c r="A13">
        <v>11</v>
      </c>
      <c r="B13">
        <v>2</v>
      </c>
      <c r="C13">
        <v>4300</v>
      </c>
      <c r="D13" s="4">
        <f t="shared" si="0"/>
        <v>42.183</v>
      </c>
      <c r="E13">
        <v>1</v>
      </c>
      <c r="H13">
        <v>10</v>
      </c>
      <c r="I13">
        <v>1</v>
      </c>
      <c r="K13" s="4">
        <f t="shared" si="1"/>
        <v>0</v>
      </c>
      <c r="R13" s="4"/>
    </row>
    <row r="14" spans="1:20" x14ac:dyDescent="0.3">
      <c r="A14">
        <v>12</v>
      </c>
      <c r="B14">
        <v>2</v>
      </c>
      <c r="C14">
        <v>4400</v>
      </c>
      <c r="D14" s="4">
        <f t="shared" si="0"/>
        <v>43.164000000000001</v>
      </c>
      <c r="E14">
        <v>1</v>
      </c>
      <c r="H14">
        <v>11</v>
      </c>
      <c r="I14">
        <v>2</v>
      </c>
      <c r="J14">
        <v>700</v>
      </c>
      <c r="K14" s="4">
        <f t="shared" si="1"/>
        <v>6.867</v>
      </c>
      <c r="L14">
        <v>1</v>
      </c>
      <c r="R14" s="4"/>
    </row>
    <row r="15" spans="1:20" x14ac:dyDescent="0.3">
      <c r="A15">
        <v>13</v>
      </c>
      <c r="B15">
        <v>2</v>
      </c>
      <c r="C15">
        <v>3600</v>
      </c>
      <c r="D15" s="4">
        <f t="shared" si="0"/>
        <v>35.316000000000003</v>
      </c>
      <c r="E15">
        <v>1</v>
      </c>
      <c r="H15">
        <v>12</v>
      </c>
      <c r="I15">
        <v>2</v>
      </c>
      <c r="K15" s="4">
        <f t="shared" si="1"/>
        <v>0</v>
      </c>
      <c r="R15" s="4"/>
    </row>
    <row r="16" spans="1:20" x14ac:dyDescent="0.3">
      <c r="A16">
        <v>14</v>
      </c>
      <c r="B16">
        <v>2</v>
      </c>
      <c r="C16">
        <v>3990</v>
      </c>
      <c r="D16" s="4">
        <f t="shared" si="0"/>
        <v>39.1419</v>
      </c>
      <c r="E16">
        <v>1</v>
      </c>
      <c r="H16">
        <v>13</v>
      </c>
      <c r="I16">
        <v>2</v>
      </c>
      <c r="K16" s="4">
        <f t="shared" si="1"/>
        <v>0</v>
      </c>
      <c r="R16" s="4"/>
    </row>
    <row r="17" spans="1:18" x14ac:dyDescent="0.3">
      <c r="A17">
        <v>15</v>
      </c>
      <c r="B17">
        <v>2</v>
      </c>
      <c r="C17">
        <v>4200</v>
      </c>
      <c r="D17" s="4">
        <f t="shared" si="0"/>
        <v>41.201999999999998</v>
      </c>
      <c r="E17">
        <v>1</v>
      </c>
      <c r="H17">
        <v>14</v>
      </c>
      <c r="I17">
        <v>2</v>
      </c>
      <c r="K17" s="4">
        <f t="shared" si="1"/>
        <v>0</v>
      </c>
      <c r="R17" s="4"/>
    </row>
    <row r="18" spans="1:18" x14ac:dyDescent="0.3">
      <c r="A18">
        <v>16</v>
      </c>
      <c r="B18">
        <v>2</v>
      </c>
      <c r="C18">
        <v>4600</v>
      </c>
      <c r="D18" s="4">
        <f t="shared" si="0"/>
        <v>45.125999999999998</v>
      </c>
      <c r="E18">
        <v>1</v>
      </c>
      <c r="H18">
        <v>15</v>
      </c>
      <c r="I18">
        <v>2</v>
      </c>
      <c r="K18" s="4">
        <f t="shared" si="1"/>
        <v>0</v>
      </c>
      <c r="R18" s="4"/>
    </row>
    <row r="19" spans="1:18" x14ac:dyDescent="0.3">
      <c r="A19">
        <v>17</v>
      </c>
      <c r="B19">
        <v>2</v>
      </c>
      <c r="C19">
        <v>4530</v>
      </c>
      <c r="D19" s="4">
        <f t="shared" si="0"/>
        <v>44.439300000000003</v>
      </c>
      <c r="E19">
        <v>1</v>
      </c>
      <c r="H19">
        <v>16</v>
      </c>
      <c r="I19">
        <v>2</v>
      </c>
      <c r="K19" s="4">
        <f t="shared" si="1"/>
        <v>0</v>
      </c>
      <c r="R19" s="4"/>
    </row>
    <row r="20" spans="1:18" x14ac:dyDescent="0.3">
      <c r="A20">
        <v>18</v>
      </c>
      <c r="B20">
        <v>2</v>
      </c>
      <c r="C20">
        <v>4450</v>
      </c>
      <c r="D20" s="4">
        <f t="shared" si="0"/>
        <v>43.654499999999999</v>
      </c>
      <c r="E20">
        <v>1</v>
      </c>
      <c r="H20">
        <v>17</v>
      </c>
      <c r="I20">
        <v>2</v>
      </c>
      <c r="K20" s="4">
        <f t="shared" si="1"/>
        <v>0</v>
      </c>
      <c r="R20" s="4"/>
    </row>
    <row r="21" spans="1:18" x14ac:dyDescent="0.3">
      <c r="A21">
        <v>19</v>
      </c>
      <c r="B21">
        <v>2</v>
      </c>
      <c r="C21">
        <v>4300</v>
      </c>
      <c r="D21" s="4">
        <f t="shared" si="0"/>
        <v>42.183</v>
      </c>
      <c r="E21">
        <v>1</v>
      </c>
      <c r="H21">
        <v>18</v>
      </c>
      <c r="I21">
        <v>2</v>
      </c>
      <c r="K21" s="4">
        <f t="shared" si="1"/>
        <v>0</v>
      </c>
      <c r="R21" s="4"/>
    </row>
    <row r="22" spans="1:18" x14ac:dyDescent="0.3">
      <c r="A22">
        <v>20</v>
      </c>
      <c r="B22">
        <v>2</v>
      </c>
      <c r="C22">
        <v>4200</v>
      </c>
      <c r="D22" s="4">
        <f t="shared" si="0"/>
        <v>41.201999999999998</v>
      </c>
      <c r="E22">
        <v>1</v>
      </c>
      <c r="H22">
        <v>19</v>
      </c>
      <c r="I22">
        <v>2</v>
      </c>
      <c r="K22" s="4">
        <f t="shared" si="1"/>
        <v>0</v>
      </c>
      <c r="R22" s="4"/>
    </row>
    <row r="23" spans="1:18" x14ac:dyDescent="0.3">
      <c r="A23">
        <v>21</v>
      </c>
      <c r="B23">
        <v>3</v>
      </c>
      <c r="C23">
        <v>4930</v>
      </c>
      <c r="D23" s="4">
        <f t="shared" si="0"/>
        <v>48.363300000000002</v>
      </c>
      <c r="E23">
        <v>1</v>
      </c>
      <c r="H23">
        <v>20</v>
      </c>
      <c r="I23">
        <v>2</v>
      </c>
      <c r="K23" s="4">
        <f t="shared" si="1"/>
        <v>0</v>
      </c>
      <c r="R23" s="4"/>
    </row>
    <row r="24" spans="1:18" x14ac:dyDescent="0.3">
      <c r="A24">
        <v>22</v>
      </c>
      <c r="B24">
        <v>3</v>
      </c>
      <c r="C24">
        <v>4980</v>
      </c>
      <c r="D24" s="4">
        <f t="shared" si="0"/>
        <v>48.8538</v>
      </c>
      <c r="E24">
        <v>1</v>
      </c>
      <c r="H24">
        <v>21</v>
      </c>
      <c r="I24">
        <v>3</v>
      </c>
      <c r="J24">
        <v>770</v>
      </c>
      <c r="K24" s="4">
        <f t="shared" si="1"/>
        <v>7.553700000000001</v>
      </c>
      <c r="L24">
        <v>1</v>
      </c>
      <c r="R24" s="4"/>
    </row>
    <row r="25" spans="1:18" x14ac:dyDescent="0.3">
      <c r="A25">
        <v>23</v>
      </c>
      <c r="B25">
        <v>3</v>
      </c>
      <c r="C25">
        <v>4270</v>
      </c>
      <c r="D25" s="4">
        <f t="shared" si="0"/>
        <v>41.888700000000007</v>
      </c>
      <c r="E25">
        <v>1</v>
      </c>
      <c r="H25">
        <v>22</v>
      </c>
      <c r="I25">
        <v>3</v>
      </c>
      <c r="K25" s="4">
        <f t="shared" si="1"/>
        <v>0</v>
      </c>
      <c r="R25" s="4"/>
    </row>
    <row r="26" spans="1:18" x14ac:dyDescent="0.3">
      <c r="A26">
        <v>24</v>
      </c>
      <c r="B26">
        <v>3</v>
      </c>
      <c r="C26">
        <v>4960</v>
      </c>
      <c r="D26" s="4">
        <f t="shared" si="0"/>
        <v>48.657600000000009</v>
      </c>
      <c r="E26">
        <v>1</v>
      </c>
      <c r="H26">
        <v>23</v>
      </c>
      <c r="I26">
        <v>3</v>
      </c>
      <c r="K26" s="4">
        <f t="shared" si="1"/>
        <v>0</v>
      </c>
      <c r="R26" s="4"/>
    </row>
    <row r="27" spans="1:18" x14ac:dyDescent="0.3">
      <c r="A27">
        <v>25</v>
      </c>
      <c r="B27">
        <v>3</v>
      </c>
      <c r="C27">
        <v>4650</v>
      </c>
      <c r="D27" s="4">
        <f t="shared" si="0"/>
        <v>45.616500000000002</v>
      </c>
      <c r="E27">
        <v>1</v>
      </c>
      <c r="H27">
        <v>24</v>
      </c>
      <c r="I27">
        <v>3</v>
      </c>
      <c r="K27" s="4">
        <f t="shared" si="1"/>
        <v>0</v>
      </c>
      <c r="R27" s="4"/>
    </row>
    <row r="28" spans="1:18" x14ac:dyDescent="0.3">
      <c r="A28">
        <v>26</v>
      </c>
      <c r="B28">
        <v>3</v>
      </c>
      <c r="C28">
        <v>4900</v>
      </c>
      <c r="D28" s="4">
        <f t="shared" si="0"/>
        <v>48.069000000000003</v>
      </c>
      <c r="E28">
        <v>1</v>
      </c>
      <c r="H28">
        <v>25</v>
      </c>
      <c r="I28">
        <v>3</v>
      </c>
      <c r="K28" s="4">
        <f t="shared" si="1"/>
        <v>0</v>
      </c>
      <c r="R28" s="4"/>
    </row>
    <row r="29" spans="1:18" x14ac:dyDescent="0.3">
      <c r="A29">
        <v>27</v>
      </c>
      <c r="B29">
        <v>3</v>
      </c>
      <c r="C29">
        <v>4720</v>
      </c>
      <c r="D29" s="4">
        <f t="shared" si="0"/>
        <v>46.303200000000004</v>
      </c>
      <c r="E29">
        <v>1</v>
      </c>
      <c r="H29">
        <v>26</v>
      </c>
      <c r="I29">
        <v>3</v>
      </c>
      <c r="K29" s="4">
        <f t="shared" si="1"/>
        <v>0</v>
      </c>
      <c r="R29" s="4"/>
    </row>
    <row r="30" spans="1:18" x14ac:dyDescent="0.3">
      <c r="A30">
        <v>28</v>
      </c>
      <c r="B30">
        <v>3</v>
      </c>
      <c r="C30">
        <v>4660</v>
      </c>
      <c r="D30" s="4">
        <f t="shared" si="0"/>
        <v>45.714600000000004</v>
      </c>
      <c r="E30">
        <v>1</v>
      </c>
      <c r="H30">
        <v>27</v>
      </c>
      <c r="I30">
        <v>3</v>
      </c>
      <c r="K30" s="4">
        <f t="shared" si="1"/>
        <v>0</v>
      </c>
      <c r="R30" s="4"/>
    </row>
    <row r="31" spans="1:18" x14ac:dyDescent="0.3">
      <c r="A31">
        <v>29</v>
      </c>
      <c r="B31">
        <v>3</v>
      </c>
      <c r="C31">
        <v>4990</v>
      </c>
      <c r="D31" s="4">
        <f t="shared" si="0"/>
        <v>48.951900000000002</v>
      </c>
      <c r="E31">
        <v>1</v>
      </c>
      <c r="H31">
        <v>28</v>
      </c>
      <c r="I31">
        <v>3</v>
      </c>
      <c r="K31" s="4">
        <f t="shared" si="1"/>
        <v>0</v>
      </c>
      <c r="R31" s="4"/>
    </row>
    <row r="32" spans="1:18" x14ac:dyDescent="0.3">
      <c r="A32">
        <v>30</v>
      </c>
      <c r="B32">
        <v>3</v>
      </c>
      <c r="C32">
        <v>4800</v>
      </c>
      <c r="D32" s="4">
        <f t="shared" si="0"/>
        <v>47.088000000000001</v>
      </c>
      <c r="E32">
        <v>1</v>
      </c>
      <c r="H32">
        <v>29</v>
      </c>
      <c r="I32">
        <v>3</v>
      </c>
      <c r="K32" s="4">
        <f t="shared" si="1"/>
        <v>0</v>
      </c>
      <c r="R32" s="4"/>
    </row>
    <row r="33" spans="4:12" x14ac:dyDescent="0.3">
      <c r="D33" s="4"/>
      <c r="H33">
        <v>30</v>
      </c>
      <c r="I33">
        <v>3</v>
      </c>
      <c r="K33" s="4">
        <f t="shared" si="1"/>
        <v>0</v>
      </c>
    </row>
    <row r="34" spans="4:12" x14ac:dyDescent="0.3">
      <c r="D34" s="4"/>
      <c r="H34">
        <v>31</v>
      </c>
      <c r="I34">
        <v>4</v>
      </c>
      <c r="J34">
        <v>1900</v>
      </c>
      <c r="K34" s="4">
        <f t="shared" si="1"/>
        <v>18.638999999999999</v>
      </c>
      <c r="L34">
        <v>1</v>
      </c>
    </row>
    <row r="35" spans="4:12" x14ac:dyDescent="0.3">
      <c r="D35" s="4"/>
      <c r="H35">
        <v>32</v>
      </c>
      <c r="I35">
        <v>4</v>
      </c>
      <c r="K35" s="4">
        <f t="shared" si="1"/>
        <v>0</v>
      </c>
    </row>
    <row r="36" spans="4:12" x14ac:dyDescent="0.3">
      <c r="D36" s="4"/>
      <c r="H36">
        <v>33</v>
      </c>
      <c r="I36">
        <v>4</v>
      </c>
      <c r="K36" s="4">
        <f t="shared" si="1"/>
        <v>0</v>
      </c>
    </row>
    <row r="37" spans="4:12" x14ac:dyDescent="0.3">
      <c r="D37" s="4"/>
      <c r="H37">
        <v>34</v>
      </c>
      <c r="I37">
        <v>4</v>
      </c>
      <c r="K37" s="4">
        <f t="shared" si="1"/>
        <v>0</v>
      </c>
    </row>
    <row r="38" spans="4:12" x14ac:dyDescent="0.3">
      <c r="D38" s="4"/>
      <c r="H38">
        <v>35</v>
      </c>
      <c r="I38">
        <v>4</v>
      </c>
      <c r="K38" s="4">
        <f t="shared" si="1"/>
        <v>0</v>
      </c>
    </row>
    <row r="39" spans="4:12" x14ac:dyDescent="0.3">
      <c r="D39" s="4"/>
      <c r="H39">
        <v>36</v>
      </c>
      <c r="I39">
        <v>4</v>
      </c>
      <c r="K39" s="4">
        <f t="shared" si="1"/>
        <v>0</v>
      </c>
    </row>
    <row r="40" spans="4:12" x14ac:dyDescent="0.3">
      <c r="D40" s="4"/>
      <c r="H40">
        <v>37</v>
      </c>
      <c r="I40">
        <v>4</v>
      </c>
      <c r="K40" s="4">
        <f t="shared" si="1"/>
        <v>0</v>
      </c>
    </row>
    <row r="41" spans="4:12" x14ac:dyDescent="0.3">
      <c r="D41" s="4"/>
      <c r="H41">
        <v>38</v>
      </c>
      <c r="I41">
        <v>4</v>
      </c>
      <c r="K41" s="4">
        <f t="shared" si="1"/>
        <v>0</v>
      </c>
    </row>
    <row r="42" spans="4:12" x14ac:dyDescent="0.3">
      <c r="D42" s="4"/>
      <c r="H42">
        <v>39</v>
      </c>
      <c r="I42">
        <v>4</v>
      </c>
      <c r="K42" s="4">
        <f t="shared" si="1"/>
        <v>0</v>
      </c>
    </row>
    <row r="43" spans="4:12" x14ac:dyDescent="0.3">
      <c r="H43">
        <v>40</v>
      </c>
      <c r="I43">
        <v>4</v>
      </c>
      <c r="K43" s="4">
        <f t="shared" si="1"/>
        <v>0</v>
      </c>
    </row>
    <row r="46" spans="4:12" x14ac:dyDescent="0.3">
      <c r="F46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D2BE-5079-4DB2-B02C-9BB2E5EBD659}">
  <dimension ref="A1:E12"/>
  <sheetViews>
    <sheetView workbookViewId="0">
      <selection activeCell="D19" sqref="D19"/>
    </sheetView>
  </sheetViews>
  <sheetFormatPr baseColWidth="10" defaultRowHeight="14.4" x14ac:dyDescent="0.3"/>
  <cols>
    <col min="5" max="5" width="13.21875" bestFit="1" customWidth="1"/>
  </cols>
  <sheetData>
    <row r="1" spans="1:5" x14ac:dyDescent="0.3">
      <c r="A1" t="s">
        <v>118</v>
      </c>
    </row>
    <row r="2" spans="1:5" x14ac:dyDescent="0.3">
      <c r="A2" t="s">
        <v>9</v>
      </c>
      <c r="B2" t="s">
        <v>29</v>
      </c>
      <c r="C2" t="s">
        <v>30</v>
      </c>
      <c r="D2" t="s">
        <v>40</v>
      </c>
      <c r="E2" t="s">
        <v>38</v>
      </c>
    </row>
    <row r="3" spans="1:5" x14ac:dyDescent="0.3">
      <c r="A3">
        <v>1</v>
      </c>
      <c r="B3" t="s">
        <v>35</v>
      </c>
      <c r="C3">
        <v>1</v>
      </c>
      <c r="D3">
        <v>3.75</v>
      </c>
    </row>
    <row r="4" spans="1:5" x14ac:dyDescent="0.3">
      <c r="A4">
        <v>2</v>
      </c>
      <c r="B4" t="s">
        <v>35</v>
      </c>
      <c r="C4">
        <v>1</v>
      </c>
      <c r="D4">
        <v>3.75</v>
      </c>
    </row>
    <row r="5" spans="1:5" x14ac:dyDescent="0.3">
      <c r="A5">
        <v>3</v>
      </c>
      <c r="B5" t="s">
        <v>37</v>
      </c>
      <c r="C5">
        <v>0</v>
      </c>
      <c r="D5">
        <v>3.75</v>
      </c>
      <c r="E5" t="s">
        <v>39</v>
      </c>
    </row>
    <row r="6" spans="1:5" x14ac:dyDescent="0.3">
      <c r="A6">
        <v>4</v>
      </c>
      <c r="B6" t="s">
        <v>34</v>
      </c>
      <c r="C6">
        <v>1</v>
      </c>
      <c r="D6">
        <v>3.75</v>
      </c>
    </row>
    <row r="7" spans="1:5" x14ac:dyDescent="0.3">
      <c r="A7">
        <v>5</v>
      </c>
      <c r="B7" t="s">
        <v>34</v>
      </c>
      <c r="C7">
        <v>1</v>
      </c>
      <c r="D7">
        <v>3.75</v>
      </c>
    </row>
    <row r="8" spans="1:5" x14ac:dyDescent="0.3">
      <c r="A8">
        <v>6</v>
      </c>
      <c r="B8" t="s">
        <v>36</v>
      </c>
      <c r="C8">
        <v>1</v>
      </c>
      <c r="D8">
        <v>3.75</v>
      </c>
    </row>
    <row r="9" spans="1:5" x14ac:dyDescent="0.3">
      <c r="A9">
        <v>7</v>
      </c>
      <c r="B9" t="s">
        <v>35</v>
      </c>
      <c r="C9">
        <v>0</v>
      </c>
      <c r="D9">
        <v>3.75</v>
      </c>
      <c r="E9" t="s">
        <v>39</v>
      </c>
    </row>
    <row r="10" spans="1:5" x14ac:dyDescent="0.3">
      <c r="A10">
        <v>8</v>
      </c>
      <c r="B10" t="s">
        <v>36</v>
      </c>
      <c r="C10">
        <v>1</v>
      </c>
      <c r="D10">
        <v>3.75</v>
      </c>
    </row>
    <row r="11" spans="1:5" x14ac:dyDescent="0.3">
      <c r="A11">
        <v>9</v>
      </c>
      <c r="B11" t="s">
        <v>35</v>
      </c>
      <c r="C11">
        <v>1</v>
      </c>
      <c r="D11">
        <v>3.75</v>
      </c>
    </row>
    <row r="12" spans="1:5" x14ac:dyDescent="0.3">
      <c r="A12">
        <v>10</v>
      </c>
      <c r="B12" t="s">
        <v>35</v>
      </c>
      <c r="C12">
        <v>0</v>
      </c>
      <c r="D12">
        <v>3.75</v>
      </c>
      <c r="E1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12DD-A0B6-4A21-9751-4FD5E4085B51}">
  <dimension ref="A1:H39"/>
  <sheetViews>
    <sheetView workbookViewId="0">
      <selection activeCell="J23" sqref="J23"/>
    </sheetView>
  </sheetViews>
  <sheetFormatPr baseColWidth="10" defaultRowHeight="14.4" x14ac:dyDescent="0.3"/>
  <cols>
    <col min="1" max="1" width="21.21875" bestFit="1" customWidth="1"/>
    <col min="2" max="2" width="13.88671875" bestFit="1" customWidth="1"/>
    <col min="3" max="3" width="14" bestFit="1" customWidth="1"/>
    <col min="4" max="4" width="8.88671875" bestFit="1" customWidth="1"/>
    <col min="5" max="5" width="11" bestFit="1" customWidth="1"/>
    <col min="6" max="6" width="14" bestFit="1" customWidth="1"/>
    <col min="7" max="8" width="14.21875" bestFit="1" customWidth="1"/>
  </cols>
  <sheetData>
    <row r="1" spans="1:8" x14ac:dyDescent="0.3">
      <c r="A1" s="1" t="s">
        <v>18</v>
      </c>
    </row>
    <row r="2" spans="1:8" s="1" customFormat="1" x14ac:dyDescent="0.3">
      <c r="A2" s="6" t="s">
        <v>19</v>
      </c>
      <c r="B2" s="6" t="s">
        <v>21</v>
      </c>
      <c r="C2" s="6" t="s">
        <v>25</v>
      </c>
      <c r="D2" s="6" t="s">
        <v>26</v>
      </c>
      <c r="E2" s="1" t="s">
        <v>20</v>
      </c>
      <c r="F2" s="6" t="s">
        <v>25</v>
      </c>
      <c r="G2" s="1" t="s">
        <v>22</v>
      </c>
    </row>
    <row r="3" spans="1:8" x14ac:dyDescent="0.3">
      <c r="A3" s="10">
        <v>1</v>
      </c>
      <c r="B3" s="4">
        <v>32.467400000000005</v>
      </c>
      <c r="C3" s="4">
        <f>B3-$C$38</f>
        <v>32.467400000000005</v>
      </c>
      <c r="D3" s="4">
        <f>B3-$C$39</f>
        <v>32.467400000000005</v>
      </c>
      <c r="E3" s="4">
        <v>10.329199999999998</v>
      </c>
      <c r="F3" s="4">
        <f>E3-$F$38</f>
        <v>10.329199999999998</v>
      </c>
      <c r="G3">
        <v>1.6228799999999999</v>
      </c>
      <c r="H3" s="4"/>
    </row>
    <row r="4" spans="1:8" x14ac:dyDescent="0.3">
      <c r="A4" s="10">
        <v>2</v>
      </c>
      <c r="B4" s="4">
        <v>32.173400000000001</v>
      </c>
      <c r="C4" s="4">
        <f>B4-$C$38</f>
        <v>32.173400000000001</v>
      </c>
      <c r="D4" s="4">
        <f>B4-$C$39</f>
        <v>32.173400000000001</v>
      </c>
      <c r="E4" s="4">
        <v>10.7212</v>
      </c>
      <c r="F4" s="4">
        <f>E4-$F$38</f>
        <v>10.7212</v>
      </c>
      <c r="G4">
        <v>1.3915999999999999</v>
      </c>
      <c r="H4" s="4"/>
    </row>
    <row r="5" spans="1:8" x14ac:dyDescent="0.3">
      <c r="A5" s="10">
        <v>3</v>
      </c>
      <c r="B5" s="4">
        <v>31.928399999999996</v>
      </c>
      <c r="C5" s="4">
        <f>B5-$C$38</f>
        <v>31.928399999999996</v>
      </c>
      <c r="D5" s="4">
        <f>B5-$C$39</f>
        <v>31.928399999999996</v>
      </c>
      <c r="E5" s="4">
        <v>10.6624</v>
      </c>
      <c r="F5" s="4">
        <f>E5-$F$38</f>
        <v>10.6624</v>
      </c>
      <c r="G5">
        <v>2.3029999999999999</v>
      </c>
      <c r="H5" s="4"/>
    </row>
    <row r="6" spans="1:8" x14ac:dyDescent="0.3">
      <c r="A6" s="10">
        <v>4</v>
      </c>
      <c r="B6" s="4">
        <v>32.045999999999999</v>
      </c>
      <c r="C6" s="4">
        <f>B6-$C$38</f>
        <v>32.045999999999999</v>
      </c>
      <c r="D6" s="4">
        <f>B6-$C$39</f>
        <v>32.045999999999999</v>
      </c>
      <c r="E6" s="4">
        <v>10.29</v>
      </c>
      <c r="F6" s="4">
        <f>E6-$F$38</f>
        <v>10.29</v>
      </c>
      <c r="G6">
        <v>0.44982</v>
      </c>
      <c r="H6" s="4"/>
    </row>
    <row r="7" spans="1:8" x14ac:dyDescent="0.3">
      <c r="A7" s="10">
        <v>5</v>
      </c>
      <c r="B7" s="4">
        <v>32.202799999999996</v>
      </c>
      <c r="C7" s="4">
        <f>B7-$C$38</f>
        <v>32.202799999999996</v>
      </c>
      <c r="D7" s="4">
        <f>B7-$C$39</f>
        <v>32.202799999999996</v>
      </c>
      <c r="E7" s="4">
        <v>10.407599999999999</v>
      </c>
      <c r="F7" s="4">
        <f>E7-$F$38</f>
        <v>10.407599999999999</v>
      </c>
      <c r="G7">
        <v>1.6856</v>
      </c>
      <c r="H7" s="4"/>
    </row>
    <row r="8" spans="1:8" x14ac:dyDescent="0.3">
      <c r="A8" s="10">
        <v>6</v>
      </c>
      <c r="B8" s="4">
        <v>31.683399999999999</v>
      </c>
      <c r="C8" s="4">
        <f>B8-$C$38</f>
        <v>31.683399999999999</v>
      </c>
      <c r="D8" s="4">
        <f>B8-$C$39</f>
        <v>31.683399999999999</v>
      </c>
      <c r="E8" s="4">
        <v>9.8391999999999982</v>
      </c>
      <c r="F8" s="4">
        <f>E8-$F$38</f>
        <v>9.8391999999999982</v>
      </c>
      <c r="G8">
        <v>1.1367999999999998</v>
      </c>
      <c r="H8" s="4"/>
    </row>
    <row r="9" spans="1:8" x14ac:dyDescent="0.3">
      <c r="A9" s="10">
        <v>7</v>
      </c>
      <c r="B9" s="4">
        <v>32.565399999999997</v>
      </c>
      <c r="C9" s="4">
        <f>B9-$C$38</f>
        <v>32.565399999999997</v>
      </c>
      <c r="D9" s="4">
        <f>B9-$C$39</f>
        <v>32.565399999999997</v>
      </c>
      <c r="E9" s="4">
        <v>10.5252</v>
      </c>
      <c r="F9" s="4">
        <f>E9-$F$38</f>
        <v>10.5252</v>
      </c>
      <c r="G9">
        <v>0.98980000000000001</v>
      </c>
      <c r="H9" s="4"/>
    </row>
    <row r="10" spans="1:8" x14ac:dyDescent="0.3">
      <c r="A10" s="10">
        <v>8</v>
      </c>
      <c r="B10" s="4">
        <v>31.8108</v>
      </c>
      <c r="C10" s="4">
        <f>B10-$C$38</f>
        <v>31.8108</v>
      </c>
      <c r="D10" s="4">
        <f>B10-$C$39</f>
        <v>31.8108</v>
      </c>
      <c r="E10" s="4">
        <v>9.9372000000000007</v>
      </c>
      <c r="F10" s="4">
        <f>E10-$F$38</f>
        <v>9.9372000000000007</v>
      </c>
      <c r="G10">
        <v>0.92119999999999991</v>
      </c>
      <c r="H10" s="4"/>
    </row>
    <row r="11" spans="1:8" x14ac:dyDescent="0.3">
      <c r="A11" s="10">
        <v>9</v>
      </c>
      <c r="B11" s="4">
        <v>31.458000000000002</v>
      </c>
      <c r="C11" s="4">
        <f>B11-$C$38</f>
        <v>31.458000000000002</v>
      </c>
      <c r="D11" s="4">
        <f>B11-$C$39</f>
        <v>31.458000000000002</v>
      </c>
      <c r="E11" s="4">
        <v>9.9862000000000002</v>
      </c>
      <c r="F11" s="4">
        <f>E11-$F$38</f>
        <v>9.9862000000000002</v>
      </c>
      <c r="G11">
        <v>0.40179999999999999</v>
      </c>
      <c r="H11" s="4"/>
    </row>
    <row r="12" spans="1:8" x14ac:dyDescent="0.3">
      <c r="A12" s="10">
        <v>10</v>
      </c>
      <c r="B12" s="4">
        <v>31.840200000000003</v>
      </c>
      <c r="C12" s="4">
        <f>B12-$C$38</f>
        <v>31.840200000000003</v>
      </c>
      <c r="D12" s="4">
        <f>B12-$C$39</f>
        <v>31.840200000000003</v>
      </c>
      <c r="E12" s="4">
        <v>10.211599999999999</v>
      </c>
      <c r="F12" s="4">
        <f>E12-$F$38</f>
        <v>10.211599999999999</v>
      </c>
      <c r="G12">
        <v>1.2054</v>
      </c>
      <c r="H12" s="4"/>
    </row>
    <row r="13" spans="1:8" x14ac:dyDescent="0.3">
      <c r="A13" s="10">
        <v>11</v>
      </c>
      <c r="B13" s="4">
        <v>32.016600000000004</v>
      </c>
      <c r="C13" s="4">
        <f>B13-$C$38</f>
        <v>32.016600000000004</v>
      </c>
      <c r="D13" s="4">
        <f>B13-$C$39</f>
        <v>32.016600000000004</v>
      </c>
      <c r="E13" s="4">
        <v>10.152799999999999</v>
      </c>
      <c r="F13" s="4">
        <f>E13-$F$38</f>
        <v>10.152799999999999</v>
      </c>
      <c r="G13">
        <v>0.80359999999999998</v>
      </c>
      <c r="H13" s="4"/>
    </row>
    <row r="14" spans="1:8" x14ac:dyDescent="0.3">
      <c r="A14" s="10">
        <v>12</v>
      </c>
      <c r="B14" s="4">
        <v>32.2714</v>
      </c>
      <c r="C14" s="4">
        <f>B14-$C$38</f>
        <v>32.2714</v>
      </c>
      <c r="D14" s="4">
        <f>B14-$C$39</f>
        <v>32.2714</v>
      </c>
      <c r="E14" s="4">
        <v>9.9959999999999987</v>
      </c>
      <c r="F14" s="4">
        <f>E14-$F$38</f>
        <v>9.9959999999999987</v>
      </c>
      <c r="G14">
        <v>1.1172</v>
      </c>
      <c r="H14" s="4"/>
    </row>
    <row r="15" spans="1:8" x14ac:dyDescent="0.3">
      <c r="A15" s="10">
        <v>13</v>
      </c>
      <c r="B15" s="4">
        <v>32.065599999999996</v>
      </c>
      <c r="C15" s="4">
        <f>B15-$C$38</f>
        <v>32.065599999999996</v>
      </c>
      <c r="D15" s="4">
        <f>B15-$C$39</f>
        <v>32.065599999999996</v>
      </c>
      <c r="E15" s="4">
        <v>10.368399999999999</v>
      </c>
      <c r="F15" s="4">
        <f>E15-$F$38</f>
        <v>10.368399999999999</v>
      </c>
      <c r="G15">
        <v>0.99960000000000004</v>
      </c>
      <c r="H15" s="4"/>
    </row>
    <row r="16" spans="1:8" x14ac:dyDescent="0.3">
      <c r="A16" s="10">
        <v>14</v>
      </c>
      <c r="B16" s="4">
        <v>32.2714</v>
      </c>
      <c r="C16" s="4">
        <f>B16-$C$38</f>
        <v>32.2714</v>
      </c>
      <c r="D16" s="4">
        <f>B16-$C$39</f>
        <v>32.2714</v>
      </c>
      <c r="E16" s="4">
        <v>10.0548</v>
      </c>
      <c r="F16" s="4">
        <f>E16-$F$38</f>
        <v>10.0548</v>
      </c>
      <c r="G16">
        <v>0.7056</v>
      </c>
      <c r="H16" s="4"/>
    </row>
    <row r="17" spans="1:8" x14ac:dyDescent="0.3">
      <c r="A17" s="6" t="s">
        <v>24</v>
      </c>
      <c r="B17" s="6">
        <f>_xlfn.STDEV.P(B3:B16)</f>
        <v>0.29007378371717746</v>
      </c>
      <c r="C17" s="6">
        <f t="shared" ref="C17:D17" si="0">_xlfn.STDEV.P(C3:C16)</f>
        <v>0.29007378371717746</v>
      </c>
      <c r="D17" s="6">
        <f t="shared" si="0"/>
        <v>0.29007378371717746</v>
      </c>
      <c r="E17" s="6">
        <f>_xlfn.STDEV.P(E3:E16)</f>
        <v>0.26244399402539209</v>
      </c>
      <c r="F17" s="6">
        <f>_xlfn.STDEV.P(F3:F16)</f>
        <v>0.26244399402539209</v>
      </c>
      <c r="G17" s="6">
        <f>_xlfn.STDEV.P(G3:G16)</f>
        <v>0.48998406474088496</v>
      </c>
      <c r="H17" s="4"/>
    </row>
    <row r="18" spans="1:8" x14ac:dyDescent="0.3">
      <c r="A18" s="6" t="s">
        <v>23</v>
      </c>
      <c r="B18" s="6">
        <f>AVERAGE(B3:B16)</f>
        <v>32.057200000000002</v>
      </c>
      <c r="C18" s="6"/>
      <c r="D18" s="1"/>
      <c r="E18" s="6">
        <f>AVERAGE(E3:E16)</f>
        <v>10.248699999999999</v>
      </c>
      <c r="F18" s="6"/>
      <c r="G18" s="6">
        <f>AVERAGE(G3:G16)</f>
        <v>1.1238500000000002</v>
      </c>
      <c r="H18" s="4"/>
    </row>
    <row r="19" spans="1:8" x14ac:dyDescent="0.3">
      <c r="A19" s="1" t="s">
        <v>27</v>
      </c>
      <c r="B19" s="1">
        <v>32</v>
      </c>
      <c r="C19" s="1"/>
      <c r="D19" s="1"/>
      <c r="E19" s="1"/>
      <c r="F19" s="1"/>
      <c r="G19" s="1"/>
      <c r="H19" s="4"/>
    </row>
    <row r="20" spans="1:8" x14ac:dyDescent="0.3">
      <c r="C20" s="4"/>
    </row>
    <row r="22" spans="1:8" x14ac:dyDescent="0.3">
      <c r="B22" s="6"/>
      <c r="C22" s="6"/>
      <c r="D22" s="6"/>
      <c r="E22" s="6"/>
      <c r="F22" s="6"/>
      <c r="G22" s="6"/>
      <c r="H22" s="6"/>
    </row>
    <row r="23" spans="1:8" x14ac:dyDescent="0.3">
      <c r="B23" s="5"/>
      <c r="C23" s="4"/>
      <c r="D23" s="4"/>
      <c r="E23" s="4"/>
      <c r="F23" s="4"/>
      <c r="G23" s="4"/>
      <c r="H23" s="4"/>
    </row>
    <row r="24" spans="1:8" x14ac:dyDescent="0.3">
      <c r="B24" s="5"/>
      <c r="C24" s="4"/>
      <c r="D24" s="4"/>
      <c r="E24" s="4"/>
      <c r="F24" s="4"/>
      <c r="G24" s="4"/>
      <c r="H24" s="4"/>
    </row>
    <row r="25" spans="1:8" x14ac:dyDescent="0.3">
      <c r="B25" s="5"/>
      <c r="C25" s="4"/>
      <c r="D25" s="4"/>
      <c r="E25" s="4"/>
      <c r="F25" s="4"/>
      <c r="G25" s="4"/>
      <c r="H25" s="4"/>
    </row>
    <row r="26" spans="1:8" x14ac:dyDescent="0.3">
      <c r="B26" s="5"/>
      <c r="C26" s="4"/>
      <c r="D26" s="4"/>
      <c r="E26" s="4"/>
      <c r="F26" s="4"/>
      <c r="G26" s="4"/>
      <c r="H26" s="4"/>
    </row>
    <row r="27" spans="1:8" x14ac:dyDescent="0.3">
      <c r="B27" s="5"/>
      <c r="C27" s="4"/>
      <c r="D27" s="4"/>
      <c r="E27" s="4"/>
      <c r="F27" s="4"/>
      <c r="G27" s="4"/>
      <c r="H27" s="4"/>
    </row>
    <row r="28" spans="1:8" x14ac:dyDescent="0.3">
      <c r="B28" s="5"/>
      <c r="C28" s="4"/>
      <c r="D28" s="4"/>
      <c r="E28" s="4"/>
      <c r="F28" s="4"/>
      <c r="G28" s="4"/>
      <c r="H28" s="4"/>
    </row>
    <row r="29" spans="1:8" x14ac:dyDescent="0.3">
      <c r="B29" s="5"/>
      <c r="C29" s="4"/>
      <c r="D29" s="4"/>
      <c r="E29" s="4"/>
      <c r="F29" s="4"/>
      <c r="G29" s="4"/>
      <c r="H29" s="4"/>
    </row>
    <row r="30" spans="1:8" x14ac:dyDescent="0.3">
      <c r="B30" s="5"/>
      <c r="C30" s="4"/>
      <c r="D30" s="4"/>
      <c r="E30" s="4"/>
      <c r="F30" s="4"/>
      <c r="G30" s="4"/>
      <c r="H30" s="4"/>
    </row>
    <row r="31" spans="1:8" x14ac:dyDescent="0.3">
      <c r="B31" s="5"/>
      <c r="C31" s="4"/>
      <c r="D31" s="4"/>
      <c r="E31" s="4"/>
      <c r="F31" s="4"/>
      <c r="G31" s="4"/>
      <c r="H31" s="4"/>
    </row>
    <row r="32" spans="1:8" x14ac:dyDescent="0.3">
      <c r="B32" s="5"/>
      <c r="C32" s="4"/>
      <c r="D32" s="4"/>
      <c r="E32" s="4"/>
      <c r="F32" s="4"/>
      <c r="G32" s="4"/>
      <c r="H32" s="4"/>
    </row>
    <row r="33" spans="2:8" x14ac:dyDescent="0.3">
      <c r="B33" s="5"/>
      <c r="C33" s="4"/>
      <c r="D33" s="4"/>
      <c r="E33" s="4"/>
      <c r="F33" s="4"/>
      <c r="G33" s="4"/>
      <c r="H33" s="4"/>
    </row>
    <row r="34" spans="2:8" x14ac:dyDescent="0.3">
      <c r="B34" s="5"/>
      <c r="C34" s="4"/>
      <c r="D34" s="4"/>
      <c r="E34" s="4"/>
      <c r="F34" s="4"/>
      <c r="G34" s="4"/>
      <c r="H34" s="4"/>
    </row>
    <row r="35" spans="2:8" x14ac:dyDescent="0.3">
      <c r="B35" s="5"/>
      <c r="C35" s="4"/>
      <c r="D35" s="4"/>
      <c r="E35" s="4"/>
      <c r="F35" s="4"/>
      <c r="G35" s="4"/>
      <c r="H35" s="4"/>
    </row>
    <row r="36" spans="2:8" x14ac:dyDescent="0.3">
      <c r="B36" s="5"/>
      <c r="C36" s="4"/>
      <c r="D36" s="4"/>
      <c r="E36" s="4"/>
      <c r="F36" s="4"/>
      <c r="G36" s="4"/>
      <c r="H36" s="4"/>
    </row>
    <row r="37" spans="2:8" x14ac:dyDescent="0.3">
      <c r="B37" s="6"/>
      <c r="C37" s="6"/>
      <c r="D37" s="6"/>
      <c r="E37" s="6"/>
      <c r="F37" s="6"/>
      <c r="G37" s="6"/>
      <c r="H37" s="6"/>
    </row>
    <row r="38" spans="2:8" x14ac:dyDescent="0.3">
      <c r="B38" s="6"/>
      <c r="C38" s="6"/>
      <c r="D38" s="6"/>
      <c r="E38" s="1"/>
      <c r="F38" s="6"/>
      <c r="G38" s="6"/>
      <c r="H38" s="6"/>
    </row>
    <row r="39" spans="2:8" x14ac:dyDescent="0.3">
      <c r="B39" s="1"/>
      <c r="C39" s="1"/>
      <c r="D39" s="1"/>
      <c r="E39" s="1"/>
      <c r="F39" s="1"/>
      <c r="G39" s="1"/>
      <c r="H39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C1C8-5D2F-4210-ABC7-9B39A6D18853}">
  <dimension ref="A2:D23"/>
  <sheetViews>
    <sheetView workbookViewId="0">
      <selection activeCell="G28" sqref="G28"/>
    </sheetView>
  </sheetViews>
  <sheetFormatPr baseColWidth="10" defaultRowHeight="14.4" x14ac:dyDescent="0.3"/>
  <cols>
    <col min="2" max="2" width="13.109375" bestFit="1" customWidth="1"/>
  </cols>
  <sheetData>
    <row r="2" spans="1:4" x14ac:dyDescent="0.3">
      <c r="A2" t="s">
        <v>110</v>
      </c>
      <c r="B2" t="s">
        <v>111</v>
      </c>
      <c r="C2" t="s">
        <v>46</v>
      </c>
      <c r="D2" t="s">
        <v>69</v>
      </c>
    </row>
    <row r="3" spans="1:4" x14ac:dyDescent="0.3">
      <c r="A3">
        <v>1</v>
      </c>
      <c r="B3">
        <v>10</v>
      </c>
      <c r="C3">
        <v>0</v>
      </c>
      <c r="D3" t="s">
        <v>112</v>
      </c>
    </row>
    <row r="4" spans="1:4" x14ac:dyDescent="0.3">
      <c r="A4">
        <v>2</v>
      </c>
      <c r="B4">
        <v>15</v>
      </c>
      <c r="C4">
        <v>0</v>
      </c>
      <c r="D4" t="s">
        <v>112</v>
      </c>
    </row>
    <row r="5" spans="1:4" x14ac:dyDescent="0.3">
      <c r="A5">
        <v>3</v>
      </c>
      <c r="B5">
        <v>20</v>
      </c>
      <c r="C5">
        <v>0</v>
      </c>
      <c r="D5" t="s">
        <v>112</v>
      </c>
    </row>
    <row r="6" spans="1:4" x14ac:dyDescent="0.3">
      <c r="A6">
        <v>4</v>
      </c>
      <c r="B6">
        <v>25</v>
      </c>
      <c r="C6">
        <v>0</v>
      </c>
      <c r="D6" t="s">
        <v>112</v>
      </c>
    </row>
    <row r="7" spans="1:4" x14ac:dyDescent="0.3">
      <c r="A7">
        <v>5</v>
      </c>
      <c r="B7">
        <v>30</v>
      </c>
      <c r="C7">
        <v>0</v>
      </c>
      <c r="D7" t="s">
        <v>112</v>
      </c>
    </row>
    <row r="8" spans="1:4" x14ac:dyDescent="0.3">
      <c r="A8">
        <v>6</v>
      </c>
      <c r="B8">
        <v>35</v>
      </c>
      <c r="C8">
        <v>1</v>
      </c>
    </row>
    <row r="9" spans="1:4" x14ac:dyDescent="0.3">
      <c r="A9">
        <v>7</v>
      </c>
      <c r="B9">
        <v>35</v>
      </c>
      <c r="C9">
        <v>0</v>
      </c>
      <c r="D9" t="s">
        <v>112</v>
      </c>
    </row>
    <row r="10" spans="1:4" x14ac:dyDescent="0.3">
      <c r="A10">
        <v>8</v>
      </c>
      <c r="B10">
        <v>35</v>
      </c>
      <c r="C10">
        <v>1</v>
      </c>
    </row>
    <row r="11" spans="1:4" x14ac:dyDescent="0.3">
      <c r="A11">
        <v>9</v>
      </c>
      <c r="B11">
        <v>35</v>
      </c>
      <c r="C11">
        <v>0</v>
      </c>
      <c r="D11" t="s">
        <v>112</v>
      </c>
    </row>
    <row r="12" spans="1:4" x14ac:dyDescent="0.3">
      <c r="A12">
        <v>10</v>
      </c>
      <c r="B12">
        <v>37.5</v>
      </c>
      <c r="C12">
        <v>0</v>
      </c>
      <c r="D12" t="s">
        <v>113</v>
      </c>
    </row>
    <row r="13" spans="1:4" x14ac:dyDescent="0.3">
      <c r="A13">
        <v>11</v>
      </c>
      <c r="B13">
        <v>37.5</v>
      </c>
      <c r="C13">
        <v>1</v>
      </c>
    </row>
    <row r="14" spans="1:4" x14ac:dyDescent="0.3">
      <c r="A14">
        <v>12</v>
      </c>
      <c r="B14">
        <v>37.5</v>
      </c>
      <c r="C14">
        <v>1</v>
      </c>
    </row>
    <row r="15" spans="1:4" x14ac:dyDescent="0.3">
      <c r="A15">
        <v>13</v>
      </c>
      <c r="B15">
        <v>37.5</v>
      </c>
      <c r="C15">
        <v>1</v>
      </c>
    </row>
    <row r="16" spans="1:4" x14ac:dyDescent="0.3">
      <c r="A16">
        <v>14</v>
      </c>
      <c r="B16">
        <v>40</v>
      </c>
      <c r="C16">
        <v>0</v>
      </c>
      <c r="D16" t="s">
        <v>113</v>
      </c>
    </row>
    <row r="17" spans="1:4" x14ac:dyDescent="0.3">
      <c r="A17">
        <v>15</v>
      </c>
      <c r="B17">
        <v>40</v>
      </c>
      <c r="C17">
        <v>1</v>
      </c>
    </row>
    <row r="18" spans="1:4" x14ac:dyDescent="0.3">
      <c r="A18">
        <v>16</v>
      </c>
      <c r="B18">
        <v>40</v>
      </c>
      <c r="C18">
        <v>1</v>
      </c>
    </row>
    <row r="19" spans="1:4" x14ac:dyDescent="0.3">
      <c r="A19">
        <v>17</v>
      </c>
      <c r="B19">
        <v>40</v>
      </c>
      <c r="C19">
        <v>0</v>
      </c>
      <c r="D19" t="s">
        <v>113</v>
      </c>
    </row>
    <row r="20" spans="1:4" x14ac:dyDescent="0.3">
      <c r="A20">
        <v>18</v>
      </c>
      <c r="B20">
        <v>42.5</v>
      </c>
      <c r="C20">
        <v>0</v>
      </c>
      <c r="D20" t="s">
        <v>113</v>
      </c>
    </row>
    <row r="21" spans="1:4" x14ac:dyDescent="0.3">
      <c r="A21">
        <v>19</v>
      </c>
      <c r="B21">
        <v>42.5</v>
      </c>
      <c r="C21">
        <v>1</v>
      </c>
    </row>
    <row r="22" spans="1:4" x14ac:dyDescent="0.3">
      <c r="A22">
        <v>20</v>
      </c>
      <c r="B22">
        <v>42.5</v>
      </c>
      <c r="C22">
        <v>0</v>
      </c>
      <c r="D22" t="s">
        <v>113</v>
      </c>
    </row>
    <row r="23" spans="1:4" x14ac:dyDescent="0.3">
      <c r="A23">
        <v>21</v>
      </c>
      <c r="B23">
        <v>42.5</v>
      </c>
      <c r="C23">
        <v>0</v>
      </c>
      <c r="D23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570B-4DCB-4D7F-9F26-A58A053E3FAA}">
  <dimension ref="A1:F11"/>
  <sheetViews>
    <sheetView workbookViewId="0">
      <selection activeCell="H26" sqref="H26"/>
    </sheetView>
  </sheetViews>
  <sheetFormatPr baseColWidth="10" defaultRowHeight="14.4" x14ac:dyDescent="0.3"/>
  <cols>
    <col min="1" max="1" width="12.109375" bestFit="1" customWidth="1"/>
    <col min="2" max="2" width="12.5546875" bestFit="1" customWidth="1"/>
    <col min="3" max="3" width="12.21875" bestFit="1" customWidth="1"/>
    <col min="6" max="7" width="13.6640625" customWidth="1"/>
  </cols>
  <sheetData>
    <row r="1" spans="1:6" x14ac:dyDescent="0.3">
      <c r="A1" t="s">
        <v>48</v>
      </c>
    </row>
    <row r="3" spans="1:6" x14ac:dyDescent="0.3">
      <c r="A3" t="s">
        <v>9</v>
      </c>
      <c r="B3" t="s">
        <v>49</v>
      </c>
      <c r="C3" t="s">
        <v>50</v>
      </c>
      <c r="D3" t="s">
        <v>54</v>
      </c>
      <c r="E3" t="s">
        <v>55</v>
      </c>
      <c r="F3" t="s">
        <v>56</v>
      </c>
    </row>
    <row r="4" spans="1:6" x14ac:dyDescent="0.3">
      <c r="A4">
        <v>1</v>
      </c>
      <c r="B4">
        <v>1</v>
      </c>
      <c r="C4">
        <v>5</v>
      </c>
      <c r="D4">
        <f>B4*$B$11+C4*$C$11+$D$11</f>
        <v>10.4</v>
      </c>
      <c r="E4" s="7">
        <f>D4*9.81</f>
        <v>102.02400000000002</v>
      </c>
      <c r="F4">
        <v>4</v>
      </c>
    </row>
    <row r="5" spans="1:6" x14ac:dyDescent="0.3">
      <c r="A5">
        <v>2</v>
      </c>
      <c r="B5">
        <v>2</v>
      </c>
      <c r="C5">
        <v>4</v>
      </c>
      <c r="D5">
        <f t="shared" ref="D5:D8" si="0">B5*$B$11+C5*$C$11+$D$11</f>
        <v>9</v>
      </c>
      <c r="E5" s="7">
        <f t="shared" ref="E5:E8" si="1">D5*9.81</f>
        <v>88.29</v>
      </c>
      <c r="F5">
        <v>3.5</v>
      </c>
    </row>
    <row r="6" spans="1:6" x14ac:dyDescent="0.3">
      <c r="A6">
        <v>3</v>
      </c>
      <c r="B6">
        <v>0</v>
      </c>
      <c r="C6">
        <v>5</v>
      </c>
      <c r="D6">
        <f t="shared" si="0"/>
        <v>9.85</v>
      </c>
      <c r="E6" s="7">
        <f t="shared" si="1"/>
        <v>96.628500000000003</v>
      </c>
      <c r="F6">
        <v>4</v>
      </c>
    </row>
    <row r="7" spans="1:6" x14ac:dyDescent="0.3">
      <c r="A7">
        <v>4</v>
      </c>
      <c r="B7">
        <v>1</v>
      </c>
      <c r="C7">
        <v>4</v>
      </c>
      <c r="D7">
        <f t="shared" si="0"/>
        <v>8.4499999999999993</v>
      </c>
      <c r="E7" s="7">
        <f t="shared" si="1"/>
        <v>82.894499999999994</v>
      </c>
      <c r="F7">
        <v>3.5</v>
      </c>
    </row>
    <row r="8" spans="1:6" x14ac:dyDescent="0.3">
      <c r="A8">
        <v>5</v>
      </c>
      <c r="B8">
        <v>1</v>
      </c>
      <c r="C8">
        <v>5</v>
      </c>
      <c r="D8">
        <f t="shared" si="0"/>
        <v>10.4</v>
      </c>
      <c r="E8" s="7">
        <f t="shared" si="1"/>
        <v>102.02400000000002</v>
      </c>
      <c r="F8">
        <v>4.5</v>
      </c>
    </row>
    <row r="10" spans="1:6" x14ac:dyDescent="0.3">
      <c r="A10" t="s">
        <v>57</v>
      </c>
      <c r="B10" t="s">
        <v>52</v>
      </c>
      <c r="C10" t="s">
        <v>51</v>
      </c>
      <c r="D10" t="s">
        <v>53</v>
      </c>
    </row>
    <row r="11" spans="1:6" x14ac:dyDescent="0.3">
      <c r="B11">
        <v>0.55000000000000004</v>
      </c>
      <c r="C11">
        <v>1.95</v>
      </c>
      <c r="D11">
        <v>0.1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4856-E3B1-42E8-80F6-9E89F9DA92C1}">
  <dimension ref="A2:G36"/>
  <sheetViews>
    <sheetView topLeftCell="A10" workbookViewId="0">
      <selection activeCell="D19" sqref="D19"/>
    </sheetView>
  </sheetViews>
  <sheetFormatPr baseColWidth="10" defaultRowHeight="14.4" x14ac:dyDescent="0.3"/>
  <cols>
    <col min="1" max="1" width="23.5546875" bestFit="1" customWidth="1"/>
  </cols>
  <sheetData>
    <row r="2" spans="1:7" x14ac:dyDescent="0.3">
      <c r="A2" s="1" t="s">
        <v>78</v>
      </c>
      <c r="B2" s="1" t="s">
        <v>84</v>
      </c>
      <c r="C2" s="1"/>
      <c r="D2" s="1" t="s">
        <v>83</v>
      </c>
      <c r="E2" s="1" t="s">
        <v>79</v>
      </c>
      <c r="G2" s="1" t="s">
        <v>80</v>
      </c>
    </row>
    <row r="3" spans="1:7" x14ac:dyDescent="0.3">
      <c r="A3" t="s">
        <v>75</v>
      </c>
      <c r="B3">
        <v>270</v>
      </c>
      <c r="C3" t="s">
        <v>73</v>
      </c>
      <c r="D3">
        <v>1</v>
      </c>
      <c r="E3">
        <f>D3*B3</f>
        <v>270</v>
      </c>
      <c r="F3" t="s">
        <v>73</v>
      </c>
      <c r="G3" s="9" t="s">
        <v>77</v>
      </c>
    </row>
    <row r="4" spans="1:7" x14ac:dyDescent="0.3">
      <c r="A4" t="s">
        <v>76</v>
      </c>
      <c r="B4">
        <v>176</v>
      </c>
      <c r="C4" t="s">
        <v>73</v>
      </c>
      <c r="D4">
        <v>1</v>
      </c>
      <c r="E4">
        <f t="shared" ref="E4:E11" si="0">D4*B4</f>
        <v>176</v>
      </c>
      <c r="F4" t="s">
        <v>73</v>
      </c>
      <c r="G4" s="9" t="s">
        <v>74</v>
      </c>
    </row>
    <row r="5" spans="1:7" x14ac:dyDescent="0.3">
      <c r="A5" t="s">
        <v>82</v>
      </c>
      <c r="B5">
        <v>97</v>
      </c>
      <c r="C5" t="s">
        <v>73</v>
      </c>
      <c r="D5">
        <v>1</v>
      </c>
      <c r="E5">
        <f t="shared" si="0"/>
        <v>97</v>
      </c>
      <c r="F5" t="s">
        <v>73</v>
      </c>
      <c r="G5" s="9" t="s">
        <v>81</v>
      </c>
    </row>
    <row r="6" spans="1:7" x14ac:dyDescent="0.3">
      <c r="A6" t="s">
        <v>85</v>
      </c>
      <c r="B6">
        <v>452</v>
      </c>
      <c r="C6" t="s">
        <v>73</v>
      </c>
      <c r="D6">
        <v>2</v>
      </c>
      <c r="E6">
        <f t="shared" si="0"/>
        <v>904</v>
      </c>
      <c r="F6" t="s">
        <v>73</v>
      </c>
      <c r="G6" s="9" t="s">
        <v>88</v>
      </c>
    </row>
    <row r="7" spans="1:7" x14ac:dyDescent="0.3">
      <c r="A7" t="s">
        <v>91</v>
      </c>
      <c r="B7">
        <v>394</v>
      </c>
      <c r="C7" t="s">
        <v>73</v>
      </c>
      <c r="D7">
        <v>1</v>
      </c>
      <c r="E7">
        <f t="shared" si="0"/>
        <v>394</v>
      </c>
      <c r="F7" t="s">
        <v>73</v>
      </c>
      <c r="G7" s="9" t="s">
        <v>90</v>
      </c>
    </row>
    <row r="8" spans="1:7" x14ac:dyDescent="0.3">
      <c r="A8" t="s">
        <v>89</v>
      </c>
      <c r="B8">
        <v>250</v>
      </c>
      <c r="C8" t="s">
        <v>73</v>
      </c>
      <c r="D8">
        <v>1</v>
      </c>
      <c r="E8">
        <f t="shared" si="0"/>
        <v>250</v>
      </c>
      <c r="F8" t="s">
        <v>73</v>
      </c>
      <c r="G8" s="9" t="s">
        <v>87</v>
      </c>
    </row>
    <row r="9" spans="1:7" x14ac:dyDescent="0.3">
      <c r="A9" t="s">
        <v>92</v>
      </c>
      <c r="B9">
        <v>75</v>
      </c>
      <c r="C9" t="s">
        <v>73</v>
      </c>
      <c r="D9">
        <v>2</v>
      </c>
      <c r="E9">
        <f t="shared" si="0"/>
        <v>150</v>
      </c>
      <c r="F9" t="s">
        <v>73</v>
      </c>
      <c r="G9" s="9" t="s">
        <v>93</v>
      </c>
    </row>
    <row r="10" spans="1:7" x14ac:dyDescent="0.3">
      <c r="A10" t="s">
        <v>95</v>
      </c>
      <c r="B10">
        <v>106</v>
      </c>
      <c r="C10" t="s">
        <v>73</v>
      </c>
      <c r="D10">
        <v>1</v>
      </c>
      <c r="E10">
        <f t="shared" si="0"/>
        <v>106</v>
      </c>
      <c r="F10" t="s">
        <v>73</v>
      </c>
      <c r="G10" s="9" t="s">
        <v>94</v>
      </c>
    </row>
    <row r="11" spans="1:7" x14ac:dyDescent="0.3">
      <c r="A11" t="s">
        <v>96</v>
      </c>
      <c r="B11">
        <v>71</v>
      </c>
      <c r="C11" t="s">
        <v>73</v>
      </c>
      <c r="D11">
        <v>1</v>
      </c>
      <c r="E11">
        <f t="shared" si="0"/>
        <v>71</v>
      </c>
      <c r="F11" t="s">
        <v>73</v>
      </c>
      <c r="G11" s="9" t="s">
        <v>97</v>
      </c>
    </row>
    <row r="12" spans="1:7" x14ac:dyDescent="0.3">
      <c r="A12" t="s">
        <v>99</v>
      </c>
      <c r="B12">
        <v>231</v>
      </c>
      <c r="C12" t="s">
        <v>73</v>
      </c>
      <c r="D12">
        <v>2</v>
      </c>
      <c r="E12">
        <f t="shared" ref="E12:E17" si="1">D12*B12</f>
        <v>462</v>
      </c>
      <c r="F12" t="s">
        <v>73</v>
      </c>
      <c r="G12" s="9" t="s">
        <v>98</v>
      </c>
    </row>
    <row r="13" spans="1:7" x14ac:dyDescent="0.3">
      <c r="A13" t="s">
        <v>101</v>
      </c>
      <c r="B13">
        <v>149</v>
      </c>
      <c r="C13" t="s">
        <v>73</v>
      </c>
      <c r="D13">
        <v>1</v>
      </c>
      <c r="E13">
        <f t="shared" si="1"/>
        <v>149</v>
      </c>
      <c r="F13" t="s">
        <v>73</v>
      </c>
      <c r="G13" s="9" t="s">
        <v>100</v>
      </c>
    </row>
    <row r="14" spans="1:7" x14ac:dyDescent="0.3">
      <c r="A14" t="s">
        <v>103</v>
      </c>
      <c r="B14">
        <v>60</v>
      </c>
      <c r="C14" t="s">
        <v>73</v>
      </c>
      <c r="D14">
        <v>1</v>
      </c>
      <c r="E14">
        <f t="shared" si="1"/>
        <v>60</v>
      </c>
      <c r="F14" t="s">
        <v>73</v>
      </c>
      <c r="G14" s="9" t="s">
        <v>102</v>
      </c>
    </row>
    <row r="15" spans="1:7" x14ac:dyDescent="0.3">
      <c r="A15" t="s">
        <v>104</v>
      </c>
      <c r="B15">
        <v>290</v>
      </c>
      <c r="C15" t="s">
        <v>73</v>
      </c>
      <c r="D15">
        <v>1</v>
      </c>
      <c r="E15">
        <f t="shared" si="1"/>
        <v>290</v>
      </c>
      <c r="F15" t="s">
        <v>73</v>
      </c>
      <c r="G15" s="9" t="s">
        <v>105</v>
      </c>
    </row>
    <row r="16" spans="1:7" x14ac:dyDescent="0.3">
      <c r="A16" t="s">
        <v>107</v>
      </c>
      <c r="B16">
        <v>76</v>
      </c>
      <c r="C16" t="s">
        <v>73</v>
      </c>
      <c r="D16">
        <v>2</v>
      </c>
      <c r="E16">
        <f t="shared" si="1"/>
        <v>152</v>
      </c>
      <c r="F16" t="s">
        <v>73</v>
      </c>
      <c r="G16" s="9" t="s">
        <v>109</v>
      </c>
    </row>
    <row r="17" spans="1:7" x14ac:dyDescent="0.3">
      <c r="A17" t="s">
        <v>106</v>
      </c>
      <c r="B17">
        <v>369</v>
      </c>
      <c r="C17" t="s">
        <v>73</v>
      </c>
      <c r="D17">
        <v>1</v>
      </c>
      <c r="E17">
        <f t="shared" si="1"/>
        <v>369</v>
      </c>
      <c r="F17" t="s">
        <v>73</v>
      </c>
      <c r="G17" s="9" t="s">
        <v>108</v>
      </c>
    </row>
    <row r="18" spans="1:7" x14ac:dyDescent="0.3">
      <c r="A18" t="s">
        <v>114</v>
      </c>
      <c r="E18">
        <v>226</v>
      </c>
      <c r="F18" t="s">
        <v>73</v>
      </c>
      <c r="G18" s="9" t="s">
        <v>115</v>
      </c>
    </row>
    <row r="20" spans="1:7" x14ac:dyDescent="0.3">
      <c r="A20" s="1" t="s">
        <v>86</v>
      </c>
      <c r="B20" s="1"/>
      <c r="C20" s="1"/>
      <c r="D20" s="1"/>
      <c r="E20" s="1">
        <f>SUM(E3:E19)</f>
        <v>4126</v>
      </c>
      <c r="F20" s="1" t="s">
        <v>73</v>
      </c>
    </row>
    <row r="24" spans="1:7" x14ac:dyDescent="0.3">
      <c r="A24" s="1" t="s">
        <v>116</v>
      </c>
    </row>
    <row r="25" spans="1:7" x14ac:dyDescent="0.3">
      <c r="A25" s="1" t="s">
        <v>78</v>
      </c>
      <c r="B25" s="1" t="s">
        <v>84</v>
      </c>
      <c r="C25" s="1"/>
      <c r="D25" s="1" t="s">
        <v>83</v>
      </c>
      <c r="E25" s="1" t="s">
        <v>79</v>
      </c>
      <c r="G25" s="1" t="s">
        <v>80</v>
      </c>
    </row>
    <row r="26" spans="1:7" x14ac:dyDescent="0.3">
      <c r="A26" t="s">
        <v>75</v>
      </c>
      <c r="B26">
        <v>270</v>
      </c>
      <c r="C26" t="s">
        <v>73</v>
      </c>
      <c r="D26">
        <v>1</v>
      </c>
      <c r="E26">
        <f>D26*B26</f>
        <v>270</v>
      </c>
      <c r="F26" t="s">
        <v>73</v>
      </c>
      <c r="G26" s="9" t="s">
        <v>77</v>
      </c>
    </row>
    <row r="27" spans="1:7" x14ac:dyDescent="0.3">
      <c r="A27" t="s">
        <v>76</v>
      </c>
      <c r="B27">
        <v>176</v>
      </c>
      <c r="C27" t="s">
        <v>73</v>
      </c>
      <c r="D27">
        <v>1</v>
      </c>
      <c r="E27">
        <f t="shared" ref="E27" si="2">D27*B27</f>
        <v>176</v>
      </c>
      <c r="F27" t="s">
        <v>73</v>
      </c>
      <c r="G27" s="9" t="s">
        <v>74</v>
      </c>
    </row>
    <row r="28" spans="1:7" x14ac:dyDescent="0.3">
      <c r="A28" t="s">
        <v>91</v>
      </c>
      <c r="B28">
        <v>394</v>
      </c>
      <c r="C28" t="s">
        <v>73</v>
      </c>
      <c r="D28">
        <v>1</v>
      </c>
      <c r="E28">
        <f t="shared" ref="E28:E34" si="3">D28*B28</f>
        <v>394</v>
      </c>
      <c r="F28" t="s">
        <v>73</v>
      </c>
      <c r="G28" s="9" t="s">
        <v>90</v>
      </c>
    </row>
    <row r="29" spans="1:7" x14ac:dyDescent="0.3">
      <c r="A29" t="s">
        <v>89</v>
      </c>
      <c r="B29">
        <v>250</v>
      </c>
      <c r="C29" t="s">
        <v>73</v>
      </c>
      <c r="D29">
        <v>1</v>
      </c>
      <c r="E29">
        <f t="shared" si="3"/>
        <v>250</v>
      </c>
      <c r="F29" t="s">
        <v>73</v>
      </c>
      <c r="G29" s="9" t="s">
        <v>87</v>
      </c>
    </row>
    <row r="30" spans="1:7" x14ac:dyDescent="0.3">
      <c r="A30" t="s">
        <v>95</v>
      </c>
      <c r="B30">
        <v>106</v>
      </c>
      <c r="C30" t="s">
        <v>73</v>
      </c>
      <c r="D30">
        <v>1</v>
      </c>
      <c r="E30">
        <f t="shared" si="3"/>
        <v>106</v>
      </c>
      <c r="F30" t="s">
        <v>73</v>
      </c>
      <c r="G30" s="9" t="s">
        <v>94</v>
      </c>
    </row>
    <row r="31" spans="1:7" x14ac:dyDescent="0.3">
      <c r="A31" t="s">
        <v>99</v>
      </c>
      <c r="B31">
        <v>231</v>
      </c>
      <c r="C31" t="s">
        <v>73</v>
      </c>
      <c r="D31">
        <v>2</v>
      </c>
      <c r="E31">
        <f t="shared" si="3"/>
        <v>462</v>
      </c>
      <c r="F31" t="s">
        <v>73</v>
      </c>
      <c r="G31" s="9" t="s">
        <v>98</v>
      </c>
    </row>
    <row r="32" spans="1:7" x14ac:dyDescent="0.3">
      <c r="A32" t="s">
        <v>103</v>
      </c>
      <c r="B32">
        <v>60</v>
      </c>
      <c r="C32" t="s">
        <v>73</v>
      </c>
      <c r="D32">
        <v>1</v>
      </c>
      <c r="E32">
        <f t="shared" si="3"/>
        <v>60</v>
      </c>
      <c r="F32" t="s">
        <v>73</v>
      </c>
      <c r="G32" s="9" t="s">
        <v>102</v>
      </c>
    </row>
    <row r="33" spans="1:7" x14ac:dyDescent="0.3">
      <c r="A33" t="s">
        <v>104</v>
      </c>
      <c r="B33">
        <v>290</v>
      </c>
      <c r="C33" t="s">
        <v>73</v>
      </c>
      <c r="D33">
        <v>1</v>
      </c>
      <c r="E33">
        <f t="shared" si="3"/>
        <v>290</v>
      </c>
      <c r="F33" t="s">
        <v>73</v>
      </c>
      <c r="G33" s="9" t="s">
        <v>105</v>
      </c>
    </row>
    <row r="34" spans="1:7" x14ac:dyDescent="0.3">
      <c r="A34" t="s">
        <v>106</v>
      </c>
      <c r="B34">
        <v>369</v>
      </c>
      <c r="C34" t="s">
        <v>73</v>
      </c>
      <c r="D34">
        <v>1</v>
      </c>
      <c r="E34">
        <f t="shared" si="3"/>
        <v>369</v>
      </c>
      <c r="F34" t="s">
        <v>73</v>
      </c>
      <c r="G34" s="9" t="s">
        <v>108</v>
      </c>
    </row>
    <row r="36" spans="1:7" x14ac:dyDescent="0.3">
      <c r="A36" s="1" t="s">
        <v>86</v>
      </c>
      <c r="B36" s="1"/>
      <c r="C36" s="1"/>
      <c r="D36" s="1"/>
      <c r="E36" s="1">
        <f>SUM(E26:E34)</f>
        <v>2377</v>
      </c>
      <c r="F36" s="1" t="s">
        <v>73</v>
      </c>
    </row>
  </sheetData>
  <hyperlinks>
    <hyperlink ref="G17" r:id="rId1" xr:uid="{536013AC-D9AE-47EE-9F20-C3BE9A1B8DEA}"/>
    <hyperlink ref="G16" r:id="rId2" xr:uid="{3E0AD8AB-B84D-4C16-8A87-87D645B79E94}"/>
    <hyperlink ref="G15" r:id="rId3" xr:uid="{CDE41299-D61D-4B64-90AE-3CCEA51260B4}"/>
    <hyperlink ref="G14" r:id="rId4" xr:uid="{E1C7EF24-037B-4DD6-AE76-D4B7F261C22D}"/>
    <hyperlink ref="G13" r:id="rId5" xr:uid="{0506E1B3-D8E7-43E1-9FA7-DC216EEE7613}"/>
    <hyperlink ref="G12" r:id="rId6" xr:uid="{18B38D37-7ACE-4AF7-AC09-F13FC5CB0A04}"/>
    <hyperlink ref="G11" r:id="rId7" xr:uid="{20D802F8-501D-4E3E-9153-B9D87BAF277D}"/>
    <hyperlink ref="G10" r:id="rId8" xr:uid="{64F2DB61-9B1C-40D1-8729-B04035EED90D}"/>
    <hyperlink ref="G9" r:id="rId9" xr:uid="{3342FBE0-5653-4612-8F67-15A7C92C9743}"/>
    <hyperlink ref="G8" r:id="rId10" xr:uid="{5081796B-A1F0-4356-A05A-E7AB2E762C48}"/>
    <hyperlink ref="G7" r:id="rId11" xr:uid="{1B313EC5-7480-44C6-8A4C-2FD756A8BF5C}"/>
    <hyperlink ref="G6" r:id="rId12" xr:uid="{A8427595-1E69-4B84-9F93-C0B67024EB0C}"/>
    <hyperlink ref="G4" r:id="rId13" xr:uid="{0A07AA73-3C21-4FF1-8309-713EAD2E8F54}"/>
    <hyperlink ref="G3" r:id="rId14" xr:uid="{EF92809E-9EE9-49EF-A62E-FB1D2D80573F}"/>
    <hyperlink ref="G5" r:id="rId15" xr:uid="{9E2BF653-945F-4621-B076-5F4F97BF4142}"/>
    <hyperlink ref="G34" r:id="rId16" xr:uid="{E43E1328-D115-4587-8C6D-009718C48DBB}"/>
    <hyperlink ref="G33" r:id="rId17" xr:uid="{D71D8836-32A3-42FD-BCB7-22DF5D9B2E72}"/>
    <hyperlink ref="G32" r:id="rId18" xr:uid="{2432A68C-20AD-461D-8688-011B7DF6F8E0}"/>
    <hyperlink ref="G31" r:id="rId19" xr:uid="{0D5D95CA-FD95-45CD-B7D0-0EC21D0889FA}"/>
    <hyperlink ref="G30" r:id="rId20" xr:uid="{31157D94-088D-404D-87CD-E4B36EB7824B}"/>
    <hyperlink ref="G29" r:id="rId21" xr:uid="{E065B840-4173-4275-9742-CD3E6B8F74F4}"/>
    <hyperlink ref="G28" r:id="rId22" xr:uid="{E246DD9D-3A16-4F1F-AAA9-EB0798CD8136}"/>
    <hyperlink ref="G27" r:id="rId23" xr:uid="{F7547FFE-C519-4FF9-B7C6-9C72106C515B}"/>
    <hyperlink ref="G26" r:id="rId24" xr:uid="{A8D59F67-B73E-4AA9-A538-EBB6626830C4}"/>
    <hyperlink ref="G18" r:id="rId25" xr:uid="{659FE554-2047-475D-BBBB-C0D9F0949B86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Ark1</vt:lpstr>
      <vt:lpstr>Full Test</vt:lpstr>
      <vt:lpstr>SeedTest</vt:lpstr>
      <vt:lpstr>Root Cutter Test</vt:lpstr>
      <vt:lpstr>Dry Substrate Test</vt:lpstr>
      <vt:lpstr>Used Substrate Test</vt:lpstr>
      <vt:lpstr>PlugDim</vt:lpstr>
      <vt:lpstr>Substrate Depth Test</vt:lpstr>
      <vt:lpstr>Plug Cup Gripper Test</vt:lpstr>
      <vt:lpstr>Component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Kleist Godal</dc:creator>
  <cp:lastModifiedBy>Amund Kleist Godal</cp:lastModifiedBy>
  <dcterms:created xsi:type="dcterms:W3CDTF">2026-03-25T14:00:15Z</dcterms:created>
  <dcterms:modified xsi:type="dcterms:W3CDTF">2026-06-02T11:34:45Z</dcterms:modified>
</cp:coreProperties>
</file>